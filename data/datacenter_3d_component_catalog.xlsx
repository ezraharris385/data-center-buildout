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ponents" sheetId="2" state="visible" r:id="rId4"/>
    <sheet name="Assemblies" sheetId="3" state="visible" r:id="rId5"/>
    <sheet name="Standards_Reference" sheetId="4" state="visible" r:id="rId6"/>
  </sheets>
  <definedNames>
    <definedName function="false" hidden="true" localSheetId="1" name="_xlnm._FilterDatabase" vbProcedure="false">Components!$A$1:$W$62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<sst xmlns="http://schemas.openxmlformats.org/spreadsheetml/2006/main" count="1087" uniqueCount="608">
  <si>
    <t xml:space="preserve">Data Center 3D Component Catalog</t>
  </si>
  <si>
    <t xml:space="preserve">Master dimension catalog for 3D-automating data center equipment (AI/GPU focus, whole facility). Compiled 2026-08-06.</t>
  </si>
  <si>
    <t xml:space="preserve">How to use</t>
  </si>
  <si>
    <t xml:space="preserve">Components tab</t>
  </si>
  <si>
    <t xml:space="preserve">One row per equipment SKU. Width/Depth/Height in millimeters. Filter by Zone or Category. Add new rows following the Component_ID pattern (e.g. CMP-010).</t>
  </si>
  <si>
    <t xml:space="preserve">Assemblies tab</t>
  </si>
  <si>
    <t xml:space="preserve">How components combine (e.g. what's inside a GB200 NVL72 rack, an 8-rack pod). Use these as the parent-child structure for 3D scene assembly.</t>
  </si>
  <si>
    <t xml:space="preserve">Standards_Reference tab</t>
  </si>
  <si>
    <t xml:space="preserve">Exact spec constants (RU height, rail widths, PCIe card sizes, tile grid). These ARE millimeter-exact - build parametric rack/floor models from them.</t>
  </si>
  <si>
    <t xml:space="preserve">Yellow cells</t>
  </si>
  <si>
    <t xml:space="preserve">Your workflow columns: Verified_Date, 3D_Status, 3D_File_Path, LOD. Update as you verify dims and build models.</t>
  </si>
  <si>
    <t xml:space="preserve">Axis &amp; unit conventions</t>
  </si>
  <si>
    <t xml:space="preserve">Width_mm (X)</t>
  </si>
  <si>
    <t xml:space="preserve">Along the front face of the unit. For skids/yard equipment (gensets, chillers), X = the LONGEST plan dimension (noted per row).</t>
  </si>
  <si>
    <t xml:space="preserve">Depth_mm (Y)</t>
  </si>
  <si>
    <t xml:space="preserve">Front-to-back. For per-meter items (busway, cable tray), Depth = 1000 mm reference length or the standard section length (see Notes).</t>
  </si>
  <si>
    <t xml:space="preserve">Height_mm (Z)</t>
  </si>
  <si>
    <t xml:space="preserve">Vertical. Rack-mount gear: Height_mm should equal Height_RU x 44.45 (19in) or OU x 48 (OCP).</t>
  </si>
  <si>
    <t xml:space="preserve">Rating_kW</t>
  </si>
  <si>
    <t xml:space="preserve">Meaning given by Rating_Type: IT load (power draw), Cooling capacity, Heat rejection, or Electrical rating (throughput, kVA noted where applicable).</t>
  </si>
  <si>
    <t xml:space="preserve">Dimension confidence - IMPORTANT</t>
  </si>
  <si>
    <t xml:space="preserve">Current status</t>
  </si>
  <si>
    <t xml:space="preserve">Web access was unavailable when this catalog was compiled, so no dimension could be checked against a live manufacturer datasheet. Nearly all rows are 'Estimated (recall)' - recalled from published datasheets, typically accurate within a few percent, but NOT yet millimeter-exact.</t>
  </si>
  <si>
    <t xml:space="preserve">Workflow to mm-exact</t>
  </si>
  <si>
    <t xml:space="preserve">1) Open the Dim_Source page/datasheet. 2) Confirm W/D/H (and weight). 3) Change Dim_Confidence to 'Verified (datasheet)' and set Verified_Date. 4) Only model to final LOD from Verified rows. Standards_Reference values are already exact.</t>
  </si>
  <si>
    <t xml:space="preserve">Confidence levels</t>
  </si>
  <si>
    <t xml:space="preserve">Verified (datasheet) &gt; Verified (standard) &gt; Secondary (press/reseller) &gt; Estimated (recall)</t>
  </si>
  <si>
    <t xml:space="preserve">Catalog summary</t>
  </si>
  <si>
    <t xml:space="preserve">Total components</t>
  </si>
  <si>
    <t xml:space="preserve">Verified rows</t>
  </si>
  <si>
    <t xml:space="preserve">Estimated rows</t>
  </si>
  <si>
    <t xml:space="preserve">Modeled (3D)</t>
  </si>
  <si>
    <t xml:space="preserve">Missing a dimension</t>
  </si>
  <si>
    <t xml:space="preserve">Suggested expansion order</t>
  </si>
  <si>
    <t xml:space="preserve">Next items to add</t>
  </si>
  <si>
    <t xml:space="preserve">GB300/Vera Rubin racks as specs publish; specific CDU models per vendor shortlist; fan walls; MV transformers per utility spec; security/DCIM gear; fire suppression (clean-agent tanks, VESDA); lighting; EPMS/BMS panels.</t>
  </si>
  <si>
    <t xml:space="preserve">Component_ID</t>
  </si>
  <si>
    <t xml:space="preserve">Zone</t>
  </si>
  <si>
    <t xml:space="preserve">Category</t>
  </si>
  <si>
    <t xml:space="preserve">Subcategory</t>
  </si>
  <si>
    <t xml:space="preserve">Manufacturer</t>
  </si>
  <si>
    <t xml:space="preserve">Model</t>
  </si>
  <si>
    <t xml:space="preserve">Description</t>
  </si>
  <si>
    <t xml:space="preserve">Width_mm</t>
  </si>
  <si>
    <t xml:space="preserve">Depth_mm</t>
  </si>
  <si>
    <t xml:space="preserve">Height_mm</t>
  </si>
  <si>
    <t xml:space="preserve">Height_RU</t>
  </si>
  <si>
    <t xml:space="preserve">Weight_kg</t>
  </si>
  <si>
    <t xml:space="preserve">Rating_Type</t>
  </si>
  <si>
    <t xml:space="preserve">Mounting</t>
  </si>
  <si>
    <t xml:space="preserve">Qty_Context</t>
  </si>
  <si>
    <t xml:space="preserve">Dim_Source</t>
  </si>
  <si>
    <t xml:space="preserve">Dim_Confidence</t>
  </si>
  <si>
    <t xml:space="preserve">Verified_Date</t>
  </si>
  <si>
    <t xml:space="preserve">3D_Status</t>
  </si>
  <si>
    <t xml:space="preserve">3D_File_Path</t>
  </si>
  <si>
    <t xml:space="preserve">LOD</t>
  </si>
  <si>
    <t xml:space="preserve">Notes</t>
  </si>
  <si>
    <t xml:space="preserve">RCK-001</t>
  </si>
  <si>
    <t xml:space="preserve">White Space</t>
  </si>
  <si>
    <t xml:space="preserve">Rack</t>
  </si>
  <si>
    <t xml:space="preserve">Enclosure</t>
  </si>
  <si>
    <t xml:space="preserve">APC (Schneider)</t>
  </si>
  <si>
    <t xml:space="preserve">NetShelter SX AR3100</t>
  </si>
  <si>
    <t xml:space="preserve">42U server rack enclosure, 600W x 1070D</t>
  </si>
  <si>
    <t xml:space="preserve">Floor-standing</t>
  </si>
  <si>
    <t xml:space="preserve">Baseline enterprise rack</t>
  </si>
  <si>
    <t xml:space="preserve">apc.com - AR3100 product page</t>
  </si>
  <si>
    <t xml:space="preserve">Estimated (recall)</t>
  </si>
  <si>
    <t xml:space="preserve">Not started</t>
  </si>
  <si>
    <t xml:space="preserve">LOD100 Massing</t>
  </si>
  <si>
    <t xml:space="preserve">Static load rating ~1364 kg</t>
  </si>
  <si>
    <t xml:space="preserve">RCK-002</t>
  </si>
  <si>
    <t xml:space="preserve">NetShelter SX AR3307</t>
  </si>
  <si>
    <t xml:space="preserve">48U deep server rack enclosure, 600W x 1200D</t>
  </si>
  <si>
    <t xml:space="preserve">Deep rack for long servers</t>
  </si>
  <si>
    <t xml:space="preserve">apc.com - AR3307 product page</t>
  </si>
  <si>
    <t xml:space="preserve">RCK-003</t>
  </si>
  <si>
    <t xml:space="preserve">Vertiv</t>
  </si>
  <si>
    <t xml:space="preserve">VR3357</t>
  </si>
  <si>
    <t xml:space="preserve">VR series 48U rack, 800W x 1200D</t>
  </si>
  <si>
    <t xml:space="preserve">Wide rack for cabling-heavy network rows</t>
  </si>
  <si>
    <t xml:space="preserve">vertiv.com - VR rack family</t>
  </si>
  <si>
    <t xml:space="preserve">800 mm width eases cable management</t>
  </si>
  <si>
    <t xml:space="preserve">RCK-004</t>
  </si>
  <si>
    <t xml:space="preserve">AI Rack System</t>
  </si>
  <si>
    <t xml:space="preserve">NVIDIA</t>
  </si>
  <si>
    <t xml:space="preserve">GB200 NVL72</t>
  </si>
  <si>
    <t xml:space="preserve">Rack-scale system: 18x 1U compute trays + 9x NVSwitch trays, liquid-cooled MGX/ORv3-derived rack</t>
  </si>
  <si>
    <t xml:space="preserve">IT load</t>
  </si>
  <si>
    <t xml:space="preserve">1 per NVL72 system</t>
  </si>
  <si>
    <t xml:space="preserve">nvidia.com/en-us/data-center/gb200-nvl72</t>
  </si>
  <si>
    <t xml:space="preserve">~120 kW rack; ~1360 kg widely cited by NVIDIA; verify vs NVIDIA MGX/OCP contribution</t>
  </si>
  <si>
    <t xml:space="preserve">RCK-005</t>
  </si>
  <si>
    <t xml:space="preserve">GB300 NVL72</t>
  </si>
  <si>
    <t xml:space="preserve">Next-gen NVL72 rack (Blackwell Ultra); same rack envelope class as GB200 NVL72</t>
  </si>
  <si>
    <t xml:space="preserve">nvidia.com - GB300 NVL72 page</t>
  </si>
  <si>
    <t xml:space="preserve">Envelope assumed = GB200 NVL72; power ~135-140 kW - verify</t>
  </si>
  <si>
    <t xml:space="preserve">RCK-006</t>
  </si>
  <si>
    <t xml:space="preserve">Open Rack Spec</t>
  </si>
  <si>
    <t xml:space="preserve">Open Compute Project</t>
  </si>
  <si>
    <t xml:space="preserve">Open Rack v3 (ORv3)</t>
  </si>
  <si>
    <t xml:space="preserve">ORv3 base rack; 21 in (538 mm) equipment bay; 48 mm OU pitch</t>
  </si>
  <si>
    <t xml:space="preserve">Spec reference for OCP/MGX gear</t>
  </si>
  <si>
    <t xml:space="preserve">opencompute.org - Open Rack specs</t>
  </si>
  <si>
    <t xml:space="preserve">538 mm bay + 48 mm OU are spec constants; overall H/D vary by config</t>
  </si>
  <si>
    <t xml:space="preserve">CMP-001</t>
  </si>
  <si>
    <t xml:space="preserve">Rack IT Gear</t>
  </si>
  <si>
    <t xml:space="preserve">Compute</t>
  </si>
  <si>
    <t xml:space="preserve">GPU Server</t>
  </si>
  <si>
    <t xml:space="preserve">DGX H100</t>
  </si>
  <si>
    <t xml:space="preserve">8U appliance, 8x H100 SXM5 + 2x Xeon 8480C</t>
  </si>
  <si>
    <t xml:space="preserve">19in rack-mount</t>
  </si>
  <si>
    <t xml:space="preserve">Up to 4 per rack (air-cooled)</t>
  </si>
  <si>
    <t xml:space="preserve">nvidia.com - DGX H100 datasheet</t>
  </si>
  <si>
    <t xml:space="preserve">Datasheet recall: 19.0 x 35.3 x 14.0 in; 287.6 lb</t>
  </si>
  <si>
    <t xml:space="preserve">CMP-002</t>
  </si>
  <si>
    <t xml:space="preserve">DGX H200</t>
  </si>
  <si>
    <t xml:space="preserve">8U appliance, 8x H200 SXM (same chassis as DGX H100)</t>
  </si>
  <si>
    <t xml:space="preserve">nvidia.com - DGX H200 datasheet</t>
  </si>
  <si>
    <t xml:space="preserve">Same chassis as DGX H100 per NVIDIA</t>
  </si>
  <si>
    <t xml:space="preserve">CMP-003</t>
  </si>
  <si>
    <t xml:space="preserve">DGX B200</t>
  </si>
  <si>
    <t xml:space="preserve">10U appliance, 8x B200 SXM</t>
  </si>
  <si>
    <t xml:space="preserve">2-3 per rack typical</t>
  </si>
  <si>
    <t xml:space="preserve">nvidia.com - DGX B200 datasheet</t>
  </si>
  <si>
    <t xml:space="preserve">~17.5 in H; ~313 lb; ~14.3 kW max</t>
  </si>
  <si>
    <t xml:space="preserve">CMP-004</t>
  </si>
  <si>
    <t xml:space="preserve">GPU Compute Tray</t>
  </si>
  <si>
    <t xml:space="preserve">GB200 NVL72 compute tray</t>
  </si>
  <si>
    <t xml:space="preserve">1U liquid-cooled MGX tray, 2x GB200 superchips (2 Grace + 4 Blackwell)</t>
  </si>
  <si>
    <t xml:space="preserve">1 OU</t>
  </si>
  <si>
    <t xml:space="preserve">21in OCP rack-mount</t>
  </si>
  <si>
    <t xml:space="preserve">18 per NVL72 rack</t>
  </si>
  <si>
    <t xml:space="preserve">nvidia.com - GB200 NVL72</t>
  </si>
  <si>
    <t xml:space="preserve">Width = ORv3 bay; depth/weight not published; ~5.4 kW/tray inferred</t>
  </si>
  <si>
    <t xml:space="preserve">CMP-005</t>
  </si>
  <si>
    <t xml:space="preserve">NVSwitch Tray</t>
  </si>
  <si>
    <t xml:space="preserve">GB200 NVL72 NVSwitch tray</t>
  </si>
  <si>
    <t xml:space="preserve">1U liquid-cooled NVLink switch tray (2x NVSwitch ASICs)</t>
  </si>
  <si>
    <t xml:space="preserve">9 per NVL72 rack</t>
  </si>
  <si>
    <t xml:space="preserve">Depth/weight/power not published</t>
  </si>
  <si>
    <t xml:space="preserve">CMP-006</t>
  </si>
  <si>
    <t xml:space="preserve">Supermicro</t>
  </si>
  <si>
    <t xml:space="preserve">SYS-821GE-TNHR</t>
  </si>
  <si>
    <t xml:space="preserve">8U GPU SuperServer, HGX H100 8-GPU</t>
  </si>
  <si>
    <t xml:space="preserve">supermicro.com - SYS-821GE-TNHR</t>
  </si>
  <si>
    <t xml:space="preserve">17.6 x 32.8 x 14 in recall</t>
  </si>
  <si>
    <t xml:space="preserve">CMP-007</t>
  </si>
  <si>
    <t xml:space="preserve">Dell</t>
  </si>
  <si>
    <t xml:space="preserve">PowerEdge XE9680</t>
  </si>
  <si>
    <t xml:space="preserve">6U server, HGX H100/H200 8-GPU</t>
  </si>
  <si>
    <t xml:space="preserve">Up to 4 per rack</t>
  </si>
  <si>
    <t xml:space="preserve">dell.com - PowerEdge XE9680 spec sheet</t>
  </si>
  <si>
    <t xml:space="preserve">Weight/power approx (6x 2800 W PSU config)</t>
  </si>
  <si>
    <t xml:space="preserve">CMP-008</t>
  </si>
  <si>
    <t xml:space="preserve">Server</t>
  </si>
  <si>
    <t xml:space="preserve">PowerEdge R760</t>
  </si>
  <si>
    <t xml:space="preserve">Mainstream 2U 2-socket rack server</t>
  </si>
  <si>
    <t xml:space="preserve">~20 per rack</t>
  </si>
  <si>
    <t xml:space="preserve">dell.com - PowerEdge R760 spec sheet</t>
  </si>
  <si>
    <t xml:space="preserve">Depth config-dependent (~740-772 mm)</t>
  </si>
  <si>
    <t xml:space="preserve">CMP-009</t>
  </si>
  <si>
    <t xml:space="preserve">PowerEdge R660</t>
  </si>
  <si>
    <t xml:space="preserve">Mainstream 1U 2-socket rack server</t>
  </si>
  <si>
    <t xml:space="preserve">~40 per rack</t>
  </si>
  <si>
    <t xml:space="preserve">dell.com - PowerEdge R660 spec sheet</t>
  </si>
  <si>
    <t xml:space="preserve">GPU-001</t>
  </si>
  <si>
    <t xml:space="preserve">GPU Module</t>
  </si>
  <si>
    <t xml:space="preserve">PCIe Accelerator</t>
  </si>
  <si>
    <t xml:space="preserve">H100 PCIe 80GB</t>
  </si>
  <si>
    <t xml:space="preserve">Dual-slot full-height full-length PCIe Gen5 accelerator</t>
  </si>
  <si>
    <t xml:space="preserve">PCIe slot</t>
  </si>
  <si>
    <t xml:space="preserve">Up to 8 per PCIe server</t>
  </si>
  <si>
    <t xml:space="preserve">nvidia.com - H100 product page</t>
  </si>
  <si>
    <t xml:space="preserve">W=thickness (2 slots), D=length 10.5 in, H=bracket height; 300-350 W TDP</t>
  </si>
  <si>
    <t xml:space="preserve">STO-001</t>
  </si>
  <si>
    <t xml:space="preserve">Storage</t>
  </si>
  <si>
    <t xml:space="preserve">All-Flash Node</t>
  </si>
  <si>
    <t xml:space="preserve">PowerScale F710</t>
  </si>
  <si>
    <t xml:space="preserve">1U all-flash NVMe scale-out NAS node (R660-based)</t>
  </si>
  <si>
    <t xml:space="preserve">Clusters of 3+</t>
  </si>
  <si>
    <t xml:space="preserve">dell.com - PowerScale F710 spec sheet</t>
  </si>
  <si>
    <t xml:space="preserve">Chassis dims inferred from R660 base platform</t>
  </si>
  <si>
    <t xml:space="preserve">NET-001</t>
  </si>
  <si>
    <t xml:space="preserve">Networking</t>
  </si>
  <si>
    <t xml:space="preserve">InfiniBand Switch</t>
  </si>
  <si>
    <t xml:space="preserve">Quantum-2 QM9700</t>
  </si>
  <si>
    <t xml:space="preserve">1U 64-port NDR 400G InfiniBand switch (32x OSFP)</t>
  </si>
  <si>
    <t xml:space="preserve">Leaf/spine fabric</t>
  </si>
  <si>
    <t xml:space="preserve">nvidia.com - QM9700 datasheet</t>
  </si>
  <si>
    <t xml:space="preserve">Power = max with active cables; ~0.75 kW passive</t>
  </si>
  <si>
    <t xml:space="preserve">NET-002</t>
  </si>
  <si>
    <t xml:space="preserve">Ethernet Switch</t>
  </si>
  <si>
    <t xml:space="preserve">Spectrum-4 SN5600</t>
  </si>
  <si>
    <t xml:space="preserve">2U 64-port 800GbE switch (OSFP)</t>
  </si>
  <si>
    <t xml:space="preserve">AI Ethernet fabric</t>
  </si>
  <si>
    <t xml:space="preserve">nvidia.com - SN5600 datasheet</t>
  </si>
  <si>
    <t xml:space="preserve">Depth/weight/power to verify</t>
  </si>
  <si>
    <t xml:space="preserve">NET-003</t>
  </si>
  <si>
    <t xml:space="preserve">Spectrum-3 SN4700</t>
  </si>
  <si>
    <t xml:space="preserve">1U 32-port 400GbE switch (QSFP-DD)</t>
  </si>
  <si>
    <t xml:space="preserve">Spine/leaf</t>
  </si>
  <si>
    <t xml:space="preserve">nvidia.com - SN4700 datasheet</t>
  </si>
  <si>
    <t xml:space="preserve">NET-004</t>
  </si>
  <si>
    <t xml:space="preserve">ToR Switch</t>
  </si>
  <si>
    <t xml:space="preserve">Arista</t>
  </si>
  <si>
    <t xml:space="preserve">7050SX3-48YC8</t>
  </si>
  <si>
    <t xml:space="preserve">1U 48x25G + 8x100G ToR switch</t>
  </si>
  <si>
    <t xml:space="preserve">1-2 per rack</t>
  </si>
  <si>
    <t xml:space="preserve">arista.com - 7050X3 datasheet</t>
  </si>
  <si>
    <t xml:space="preserve">Typical draw; max ~0.36 kW</t>
  </si>
  <si>
    <t xml:space="preserve">RPW-001</t>
  </si>
  <si>
    <t xml:space="preserve">Rack Power</t>
  </si>
  <si>
    <t xml:space="preserve">Vertical PDU</t>
  </si>
  <si>
    <t xml:space="preserve">AP8841</t>
  </si>
  <si>
    <t xml:space="preserve">Metered rack PDU 2G, ZeroU, 200-208 V 30 A, 36 outlets</t>
  </si>
  <si>
    <t xml:space="preserve">0U</t>
  </si>
  <si>
    <t xml:space="preserve">Electrical rating</t>
  </si>
  <si>
    <t xml:space="preserve">0U vertical</t>
  </si>
  <si>
    <t xml:space="preserve">2 per rack (A+B feeds)</t>
  </si>
  <si>
    <t xml:space="preserve">apc.com - AP8841 product page</t>
  </si>
  <si>
    <t xml:space="preserve">5.0 kW = 24 A derated at 208 V</t>
  </si>
  <si>
    <t xml:space="preserve">RPW-002</t>
  </si>
  <si>
    <t xml:space="preserve">Power Shelf</t>
  </si>
  <si>
    <t xml:space="preserve">OCP (Delta/LiteOn)</t>
  </si>
  <si>
    <t xml:space="preserve">ORv3 33 kW power shelf</t>
  </si>
  <si>
    <t xml:space="preserve">33 kW ORv3 power shelf (6x 5.5 kW PSUs, 48 Vdc busbar)</t>
  </si>
  <si>
    <t xml:space="preserve">8 per GB200 NVL72 rack</t>
  </si>
  <si>
    <t xml:space="preserve">opencompute.org - Open Rack project</t>
  </si>
  <si>
    <t xml:space="preserve">Depth/weight vary by design</t>
  </si>
  <si>
    <t xml:space="preserve">LCL-001</t>
  </si>
  <si>
    <t xml:space="preserve">Liquid Cooling</t>
  </si>
  <si>
    <t xml:space="preserve">In-rack CDU</t>
  </si>
  <si>
    <t xml:space="preserve">CoolIT Systems</t>
  </si>
  <si>
    <t xml:space="preserve">CHx200</t>
  </si>
  <si>
    <t xml:space="preserve">4U rack-mount liquid-to-liquid CDU for DLC</t>
  </si>
  <si>
    <t xml:space="preserve">Cooling capacity</t>
  </si>
  <si>
    <t xml:space="preserve">1 per DLC rack (in-rack option)</t>
  </si>
  <si>
    <t xml:space="preserve">coolitsystems.com - CHx200</t>
  </si>
  <si>
    <t xml:space="preserve">~200 kW at low approach temp; dry weight</t>
  </si>
  <si>
    <t xml:space="preserve">LCL-002</t>
  </si>
  <si>
    <t xml:space="preserve">Row CDU</t>
  </si>
  <si>
    <t xml:space="preserve">Liebert XDU 1350</t>
  </si>
  <si>
    <t xml:space="preserve">Floor-standing row-level liquid-to-liquid CDU</t>
  </si>
  <si>
    <t xml:space="preserve">1 per 6-10 DLC racks</t>
  </si>
  <si>
    <t xml:space="preserve">vertiv.com - Liebert XDU family</t>
  </si>
  <si>
    <t xml:space="preserve">Rack-form footprint, sits in row</t>
  </si>
  <si>
    <t xml:space="preserve">LCL-003</t>
  </si>
  <si>
    <t xml:space="preserve">Rear-door HX</t>
  </si>
  <si>
    <t xml:space="preserve">Motivair</t>
  </si>
  <si>
    <t xml:space="preserve">ChilledDoor</t>
  </si>
  <si>
    <t xml:space="preserve">Active rear-door heat exchanger replacing rack rear door</t>
  </si>
  <si>
    <t xml:space="preserve">Rack rear door</t>
  </si>
  <si>
    <t xml:space="preserve">1 per rack</t>
  </si>
  <si>
    <t xml:space="preserve">motivaircorp.com - ChilledDoor</t>
  </si>
  <si>
    <t xml:space="preserve">Height shown for 42U rack; 48U ~2265 mm</t>
  </si>
  <si>
    <t xml:space="preserve">LCL-004</t>
  </si>
  <si>
    <t xml:space="preserve">Liquid-to-air sidecar</t>
  </si>
  <si>
    <t xml:space="preserve">AHx240</t>
  </si>
  <si>
    <t xml:space="preserve">Liquid-to-air sidecar heat exchanger for DLC racks (NVL72 class)</t>
  </si>
  <si>
    <t xml:space="preserve">1 sidecar per 1-2 racks</t>
  </si>
  <si>
    <t xml:space="preserve">coolitsystems.com - AHx240</t>
  </si>
  <si>
    <t xml:space="preserve">Rejects DLC heat to room air; no facility water needed</t>
  </si>
  <si>
    <t xml:space="preserve">ACL-001</t>
  </si>
  <si>
    <t xml:space="preserve">Air Cooling</t>
  </si>
  <si>
    <t xml:space="preserve">In-row cooler</t>
  </si>
  <si>
    <t xml:space="preserve">Liebert CRV CR040RA</t>
  </si>
  <si>
    <t xml:space="preserve">600 mm wide chilled-water in-row cooling unit</t>
  </si>
  <si>
    <t xml:space="preserve">1 per 4-6 air-cooled racks</t>
  </si>
  <si>
    <t xml:space="preserve">vertiv.com - Liebert CRV</t>
  </si>
  <si>
    <t xml:space="preserve">~40 kW sensible; 300 mm DX variants exist</t>
  </si>
  <si>
    <t xml:space="preserve">ACL-002</t>
  </si>
  <si>
    <t xml:space="preserve">Perimeter CRAH</t>
  </si>
  <si>
    <t xml:space="preserve">Liebert CW146</t>
  </si>
  <si>
    <t xml:space="preserve">Large-frame downflow chilled-water CRAH</t>
  </si>
  <si>
    <t xml:space="preserve">Perimeter of hall</t>
  </si>
  <si>
    <t xml:space="preserve">vertiv.com - Liebert CW</t>
  </si>
  <si>
    <t xml:space="preserve">CW family 26-232 kW; downflow into raised-floor plenum</t>
  </si>
  <si>
    <t xml:space="preserve">PDW-001</t>
  </si>
  <si>
    <t xml:space="preserve">Power Distribution</t>
  </si>
  <si>
    <t xml:space="preserve">Overhead busway</t>
  </si>
  <si>
    <t xml:space="preserve">Starline</t>
  </si>
  <si>
    <t xml:space="preserve">T5 Series 800 A</t>
  </si>
  <si>
    <t xml:space="preserve">Overhead track busway, continuous-access slot (cross-section per m run)</t>
  </si>
  <si>
    <t xml:space="preserve">Overhead suspended</t>
  </si>
  <si>
    <t xml:space="preserve">2 runs per row (A+B)</t>
  </si>
  <si>
    <t xml:space="preserve">starlinepower.com - T5 busway</t>
  </si>
  <si>
    <t xml:space="preserve">W x H cross-section; Depth col = 1 m ref length; ~16 kg/m; 3 m sections</t>
  </si>
  <si>
    <t xml:space="preserve">PDW-002</t>
  </si>
  <si>
    <t xml:space="preserve">Floor PDU</t>
  </si>
  <si>
    <t xml:space="preserve">Liebert FPC 225 kVA</t>
  </si>
  <si>
    <t xml:space="preserve">Floor PDU cabinet with isolation transformer + panelboards</t>
  </si>
  <si>
    <t xml:space="preserve">End of row</t>
  </si>
  <si>
    <t xml:space="preserve">vertiv.com - Liebert FPC</t>
  </si>
  <si>
    <t xml:space="preserve">Rating 225 kVA; smaller frames narrower</t>
  </si>
  <si>
    <t xml:space="preserve">PDW-003</t>
  </si>
  <si>
    <t xml:space="preserve">Remote power panel</t>
  </si>
  <si>
    <t xml:space="preserve">Eaton</t>
  </si>
  <si>
    <t xml:space="preserve">RPP 400 A</t>
  </si>
  <si>
    <t xml:space="preserve">Remote power panel, up to 4 panelboards</t>
  </si>
  <si>
    <t xml:space="preserve">In-row / end of row</t>
  </si>
  <si>
    <t xml:space="preserve">eaton.com - RPP</t>
  </si>
  <si>
    <t xml:space="preserve">24 x 12 x 84 in typical; no transformer</t>
  </si>
  <si>
    <t xml:space="preserve">STR-001</t>
  </si>
  <si>
    <t xml:space="preserve">Structure</t>
  </si>
  <si>
    <t xml:space="preserve">Raised floor panel</t>
  </si>
  <si>
    <t xml:space="preserve">Tate</t>
  </si>
  <si>
    <t xml:space="preserve">ConCore 1000</t>
  </si>
  <si>
    <t xml:space="preserve">Concrete-core steel raised access floor panel, 24 x 24 in</t>
  </si>
  <si>
    <t xml:space="preserve">Floor tile</t>
  </si>
  <si>
    <t xml:space="preserve">Full hall grid</t>
  </si>
  <si>
    <t xml:space="preserve">tateinc.com - ConCore</t>
  </si>
  <si>
    <t xml:space="preserve">Metric markets use 600 x 600 mm; pedestal FFH typ 300-1200 mm</t>
  </si>
  <si>
    <t xml:space="preserve">CPW-001</t>
  </si>
  <si>
    <t xml:space="preserve">Cable Pathway</t>
  </si>
  <si>
    <t xml:space="preserve">Wire basket tray</t>
  </si>
  <si>
    <t xml:space="preserve">Legrand Cablofil</t>
  </si>
  <si>
    <t xml:space="preserve">CF54/300</t>
  </si>
  <si>
    <t xml:space="preserve">Welded steel wire-mesh cable tray (cross-section per m)</t>
  </si>
  <si>
    <t xml:space="preserve">Per cable run</t>
  </si>
  <si>
    <t xml:space="preserve">legrand.us - Cablofil</t>
  </si>
  <si>
    <t xml:space="preserve">54 mm depth x 300 mm width; 3 m sections; ~1.4 kg/m</t>
  </si>
  <si>
    <t xml:space="preserve">CPW-002</t>
  </si>
  <si>
    <t xml:space="preserve">Fiber raceway</t>
  </si>
  <si>
    <t xml:space="preserve">Panduit</t>
  </si>
  <si>
    <t xml:space="preserve">FiberRunner FR4X4</t>
  </si>
  <si>
    <t xml:space="preserve">4 x 4 in fiber routing channel with hinged cover (per section)</t>
  </si>
  <si>
    <t xml:space="preserve">Per fiber run</t>
  </si>
  <si>
    <t xml:space="preserve">panduit.com - FiberRunner</t>
  </si>
  <si>
    <t xml:space="preserve">6 ft sections; fittings keep 2 in bend radius</t>
  </si>
  <si>
    <t xml:space="preserve">CPW-003</t>
  </si>
  <si>
    <t xml:space="preserve">FiberRunner FR12X4.5</t>
  </si>
  <si>
    <t xml:space="preserve">12 x 4.5 in high-capacity fiber channel (per section)</t>
  </si>
  <si>
    <t xml:space="preserve">Trunk fiber routes</t>
  </si>
  <si>
    <t xml:space="preserve">Also 6x4 and 24x4 sizes</t>
  </si>
  <si>
    <t xml:space="preserve">CPW-004</t>
  </si>
  <si>
    <t xml:space="preserve">Ladder rack</t>
  </si>
  <si>
    <t xml:space="preserve">Chatsworth (CPI)</t>
  </si>
  <si>
    <t xml:space="preserve">Universal Cable Runway 12in</t>
  </si>
  <si>
    <t xml:space="preserve">Tubular steel ladder rack (per 10 ft section)</t>
  </si>
  <si>
    <t xml:space="preserve">Copper/power routes</t>
  </si>
  <si>
    <t xml:space="preserve">chatsworth.com - Cable Runway</t>
  </si>
  <si>
    <t xml:space="preserve">229 mm rung spacing</t>
  </si>
  <si>
    <t xml:space="preserve">CPW-005</t>
  </si>
  <si>
    <t xml:space="preserve">Universal Cable Runway 18in</t>
  </si>
  <si>
    <t xml:space="preserve">Widths 152-914 mm in family</t>
  </si>
  <si>
    <t xml:space="preserve">CNT-001</t>
  </si>
  <si>
    <t xml:space="preserve">Containment</t>
  </si>
  <si>
    <t xml:space="preserve">Aisle end door</t>
  </si>
  <si>
    <t xml:space="preserve">Aisle Containment Sliding Door</t>
  </si>
  <si>
    <t xml:space="preserve">Dual sliding end-of-aisle containment door</t>
  </si>
  <si>
    <t xml:space="preserve">2 per contained aisle</t>
  </si>
  <si>
    <t xml:space="preserve">chatsworth.com - Aisle Containment</t>
  </si>
  <si>
    <t xml:space="preserve">Fits nominal 1200 mm aisle; roof panels ~600 x 1200 mm; Depth = frame thickness est.</t>
  </si>
  <si>
    <t xml:space="preserve">ELC-001</t>
  </si>
  <si>
    <t xml:space="preserve">Gray Space</t>
  </si>
  <si>
    <t xml:space="preserve">Electrical</t>
  </si>
  <si>
    <t xml:space="preserve">UPS - large 3-phase</t>
  </si>
  <si>
    <t xml:space="preserve">Liebert EXL S1 1200 kVA</t>
  </si>
  <si>
    <t xml:space="preserve">Monolithic transformer-free UPS, 1200 kVA/kW lineup</t>
  </si>
  <si>
    <t xml:space="preserve">N+1 lineups per hall</t>
  </si>
  <si>
    <t xml:space="preserve">vertiv.com - EXL S1 (datasheet SL-25999)</t>
  </si>
  <si>
    <t xml:space="preserve">Excludes battery cabinets; tolerance ~10%</t>
  </si>
  <si>
    <t xml:space="preserve">ELC-002</t>
  </si>
  <si>
    <t xml:space="preserve">Schneider Electric</t>
  </si>
  <si>
    <t xml:space="preserve">Galaxy VX 1500 kVA</t>
  </si>
  <si>
    <t xml:space="preserve">Modular-scalable large UPS lineup</t>
  </si>
  <si>
    <t xml:space="preserve">se.com - Galaxy VX</t>
  </si>
  <si>
    <t xml:space="preserve">Lineup width varies ~4.5-6.5 m with I/O + bypass cabinets</t>
  </si>
  <si>
    <t xml:space="preserve">ELC-003</t>
  </si>
  <si>
    <t xml:space="preserve">UPS - modular</t>
  </si>
  <si>
    <t xml:space="preserve">Liebert APM2 600 kW</t>
  </si>
  <si>
    <t xml:space="preserve">Modular UPS frame, 30-600 kW hot-swap modules</t>
  </si>
  <si>
    <t xml:space="preserve">Scalable blocks</t>
  </si>
  <si>
    <t xml:space="preserve">vertiv.com - APM2</t>
  </si>
  <si>
    <t xml:space="preserve">~700 kg empty, ~1600 kg populated</t>
  </si>
  <si>
    <t xml:space="preserve">ELC-004</t>
  </si>
  <si>
    <t xml:space="preserve">93PM 200 kW frame</t>
  </si>
  <si>
    <t xml:space="preserve">Modular 3-phase UPS, up to 200 kW per cabinet</t>
  </si>
  <si>
    <t xml:space="preserve">eaton.com - 93PM</t>
  </si>
  <si>
    <t xml:space="preserve">Larger frames 1240-2100 mm wide</t>
  </si>
  <si>
    <t xml:space="preserve">ELC-005</t>
  </si>
  <si>
    <t xml:space="preserve">Battery cabinet</t>
  </si>
  <si>
    <t xml:space="preserve">HPL Li-ion battery cabinet</t>
  </si>
  <si>
    <t xml:space="preserve">Lithium-ion battery cabinet for large UPS</t>
  </si>
  <si>
    <t xml:space="preserve">Multiple per UPS lineup</t>
  </si>
  <si>
    <t xml:space="preserve">vertiv.com - HPL</t>
  </si>
  <si>
    <t xml:space="preserve">~60-130 kWh per cabinet; weight varies with module count</t>
  </si>
  <si>
    <t xml:space="preserve">ELC-006</t>
  </si>
  <si>
    <t xml:space="preserve">LV switchgear</t>
  </si>
  <si>
    <t xml:space="preserve">Magnum DS (per section)</t>
  </si>
  <si>
    <t xml:space="preserve">LV 480/600 V metal-enclosed drawout switchgear, one vertical section</t>
  </si>
  <si>
    <t xml:space="preserve">Multi-section lineups</t>
  </si>
  <si>
    <t xml:space="preserve">eaton.com - Magnum DS</t>
  </si>
  <si>
    <t xml:space="preserve">Section widths 559/660/813 mm; depths 1372-1829 mm</t>
  </si>
  <si>
    <t xml:space="preserve">ELC-007</t>
  </si>
  <si>
    <t xml:space="preserve">MV switchgear</t>
  </si>
  <si>
    <t xml:space="preserve">VacClad-W 15 kV (per section)</t>
  </si>
  <si>
    <t xml:space="preserve">MV 15 kV metal-clad vacuum switchgear, one vertical section</t>
  </si>
  <si>
    <t xml:space="preserve">eaton.com - VacClad-W</t>
  </si>
  <si>
    <t xml:space="preserve">36 x 94 x 95 in typical, two-high breakers</t>
  </si>
  <si>
    <t xml:space="preserve">ELC-008</t>
  </si>
  <si>
    <t xml:space="preserve">Transformer</t>
  </si>
  <si>
    <t xml:space="preserve">ABB (generic)</t>
  </si>
  <si>
    <t xml:space="preserve">2500 kVA dry-type cast-resin</t>
  </si>
  <si>
    <t xml:space="preserve">Unit-substation cast-resin transformer in enclosure</t>
  </si>
  <si>
    <t xml:space="preserve">Pad-mounted</t>
  </si>
  <si>
    <t xml:space="preserve">1 per unit substation</t>
  </si>
  <si>
    <t xml:space="preserve">Manufacturer datasheet (vendor-specific)</t>
  </si>
  <si>
    <t xml:space="preserve">Rating in kVA; dims vary ~15% by BIL/vendor</t>
  </si>
  <si>
    <t xml:space="preserve">ELC-009</t>
  </si>
  <si>
    <t xml:space="preserve">Static transfer switch</t>
  </si>
  <si>
    <t xml:space="preserve">Liebert STS2 1000 A</t>
  </si>
  <si>
    <t xml:space="preserve">Static transfer switch, 2-source, 1000 A 480 V</t>
  </si>
  <si>
    <t xml:space="preserve">Per dual-feed PDU group</t>
  </si>
  <si>
    <t xml:space="preserve">vertiv.com - STS2</t>
  </si>
  <si>
    <t xml:space="preserve">250-600 A frames ~813-1200 mm wide</t>
  </si>
  <si>
    <t xml:space="preserve">ELC-010</t>
  </si>
  <si>
    <t xml:space="preserve">ATS</t>
  </si>
  <si>
    <t xml:space="preserve">ASCO</t>
  </si>
  <si>
    <t xml:space="preserve">7000 Series 3000 A</t>
  </si>
  <si>
    <t xml:space="preserve">Automatic transfer switch, 3000 A 480 V, floor enclosure</t>
  </si>
  <si>
    <t xml:space="preserve">Per generator feed</t>
  </si>
  <si>
    <t xml:space="preserve">ascopower.com - 7000 Series</t>
  </si>
  <si>
    <t xml:space="preserve">Bypass-isolation option adds ~50-80% width</t>
  </si>
  <si>
    <t xml:space="preserve">BKP-001</t>
  </si>
  <si>
    <t xml:space="preserve">Yard</t>
  </si>
  <si>
    <t xml:space="preserve">Backup Power</t>
  </si>
  <si>
    <t xml:space="preserve">Diesel genset (open)</t>
  </si>
  <si>
    <t xml:space="preserve">Caterpillar</t>
  </si>
  <si>
    <t xml:space="preserve">3516B (2000 kW standby)</t>
  </si>
  <si>
    <t xml:space="preserve">Diesel genset, open skid, 2000 kW / 2500 kVA</t>
  </si>
  <si>
    <t xml:space="preserve">Skid</t>
  </si>
  <si>
    <t xml:space="preserve">N+1 per campus block</t>
  </si>
  <si>
    <t xml:space="preserve">cat.com - 3516B spec sheet</t>
  </si>
  <si>
    <t xml:space="preserve">W col = skid length, D col = skid width; dry weight; radiator-cooled</t>
  </si>
  <si>
    <t xml:space="preserve">BKP-002</t>
  </si>
  <si>
    <t xml:space="preserve">Cummins</t>
  </si>
  <si>
    <t xml:space="preserve">QSK95 (3500 kW)</t>
  </si>
  <si>
    <t xml:space="preserve">Diesel genset, open skid, 3.5 MW standby</t>
  </si>
  <si>
    <t xml:space="preserve">cummins.com - DQL spec sheet</t>
  </si>
  <si>
    <t xml:space="preserve">W col = length</t>
  </si>
  <si>
    <t xml:space="preserve">BKP-003</t>
  </si>
  <si>
    <t xml:space="preserve">Enclosed genset</t>
  </si>
  <si>
    <t xml:space="preserve">Cat/Cummins (generic)</t>
  </si>
  <si>
    <t xml:space="preserve">3 MW in 40 ft-class enclosure</t>
  </si>
  <si>
    <t xml:space="preserve">Genset in weatherproof sound-attenuated enclosure with sub-base tank</t>
  </si>
  <si>
    <t xml:space="preserve">Yard rows</t>
  </si>
  <si>
    <t xml:space="preserve">Vendor enclosure drawings</t>
  </si>
  <si>
    <t xml:space="preserve">40 ft footprint; height 2.9-4.5 m with attenuators; weight excl fuel</t>
  </si>
  <si>
    <t xml:space="preserve">MEC-001</t>
  </si>
  <si>
    <t xml:space="preserve">Mechanical Plant</t>
  </si>
  <si>
    <t xml:space="preserve">Air-cooled chiller</t>
  </si>
  <si>
    <t xml:space="preserve">Carrier</t>
  </si>
  <si>
    <t xml:space="preserve">30XA-1002</t>
  </si>
  <si>
    <t xml:space="preserve">Air-cooled screw chiller, ~1000 kW (285 ton)</t>
  </si>
  <si>
    <t xml:space="preserve">Rooftop/Yard</t>
  </si>
  <si>
    <t xml:space="preserve">Chiller yard rows</t>
  </si>
  <si>
    <t xml:space="preserve">carrier.com - 30XA</t>
  </si>
  <si>
    <t xml:space="preserve">W col = length; operating weight</t>
  </si>
  <si>
    <t xml:space="preserve">MEC-002</t>
  </si>
  <si>
    <t xml:space="preserve">Liebert AFC (1 MW)</t>
  </si>
  <si>
    <t xml:space="preserve">Air-cooled freecooling screw chiller</t>
  </si>
  <si>
    <t xml:space="preserve">vertiv.com - Liebert AFC</t>
  </si>
  <si>
    <t xml:space="preserve">Range 500-1700 kW; length 7-13.5 m</t>
  </si>
  <si>
    <t xml:space="preserve">MEC-003</t>
  </si>
  <si>
    <t xml:space="preserve">Water-cooled chiller</t>
  </si>
  <si>
    <t xml:space="preserve">York (JCI)</t>
  </si>
  <si>
    <t xml:space="preserve">YK centrifugal (~1500 ton)</t>
  </si>
  <si>
    <t xml:space="preserve">Water-cooled centrifugal chiller, ~5275 kW</t>
  </si>
  <si>
    <t xml:space="preserve">Central plant</t>
  </si>
  <si>
    <t xml:space="preserve">johnsoncontrols.com - YK</t>
  </si>
  <si>
    <t xml:space="preserve">W col = length; dims vary with shell codes</t>
  </si>
  <si>
    <t xml:space="preserve">MEC-004</t>
  </si>
  <si>
    <t xml:space="preserve">Cooling tower</t>
  </si>
  <si>
    <t xml:space="preserve">BAC</t>
  </si>
  <si>
    <t xml:space="preserve">Series 3000 (12x18 ft cell)</t>
  </si>
  <si>
    <t xml:space="preserve">Induced-draft crossflow cooling tower, single cell</t>
  </si>
  <si>
    <t xml:space="preserve">Heat rejection</t>
  </si>
  <si>
    <t xml:space="preserve">Multi-cell banks</t>
  </si>
  <si>
    <t xml:space="preserve">baltimoreaircoil.com - Series 3000</t>
  </si>
  <si>
    <t xml:space="preserve">Operating weight; ~900-1150 nominal tons/cell</t>
  </si>
  <si>
    <t xml:space="preserve">MEC-005</t>
  </si>
  <si>
    <t xml:space="preserve">Dry cooler</t>
  </si>
  <si>
    <t xml:space="preserve">Guntner</t>
  </si>
  <si>
    <t xml:space="preserve">GFD V-shape (1 MW)</t>
  </si>
  <si>
    <t xml:space="preserve">V-coil dry cooler with EC fans</t>
  </si>
  <si>
    <t xml:space="preserve">Rows along yard</t>
  </si>
  <si>
    <t xml:space="preserve">guntner.com - GFD</t>
  </si>
  <si>
    <t xml:space="preserve">W col = length; scales ~2.9 m per fan pair</t>
  </si>
  <si>
    <t xml:space="preserve">MEC-006</t>
  </si>
  <si>
    <t xml:space="preserve">Pump skid</t>
  </si>
  <si>
    <t xml:space="preserve">Bell &amp; Gossett</t>
  </si>
  <si>
    <t xml:space="preserve">e-1510 base-mounted (100 HP)</t>
  </si>
  <si>
    <t xml:space="preserve">End-suction centrifugal CHW pump + motor on baseplate</t>
  </si>
  <si>
    <t xml:space="preserve">xylem.com - e-1510</t>
  </si>
  <si>
    <t xml:space="preserve">W col = base length; varies by pump/motor size</t>
  </si>
  <si>
    <t xml:space="preserve">MEC-007</t>
  </si>
  <si>
    <t xml:space="preserve">Thermal storage</t>
  </si>
  <si>
    <t xml:space="preserve">DN Tanks / CB&amp;I</t>
  </si>
  <si>
    <t xml:space="preserve">Chilled water TES ~1 MG</t>
  </si>
  <si>
    <t xml:space="preserve">Site-built stratified CHW TES tank, ~3800 m3</t>
  </si>
  <si>
    <t xml:space="preserve">Optional per plant</t>
  </si>
  <si>
    <t xml:space="preserve">Project-specific drawings</t>
  </si>
  <si>
    <t xml:space="preserve">Cylindrical: W/D = diameter; project-specific example</t>
  </si>
  <si>
    <t xml:space="preserve">FUE-001</t>
  </si>
  <si>
    <t xml:space="preserve">Fuel</t>
  </si>
  <si>
    <t xml:space="preserve">Storage tank</t>
  </si>
  <si>
    <t xml:space="preserve">Generic (UL-2085)</t>
  </si>
  <si>
    <t xml:space="preserve">20,000 gal protected AST</t>
  </si>
  <si>
    <t xml:space="preserve">Double-wall fire-protected diesel storage tank</t>
  </si>
  <si>
    <t xml:space="preserve">Per genset group</t>
  </si>
  <si>
    <t xml:space="preserve">Vendor drawing (Fireguard type)</t>
  </si>
  <si>
    <t xml:space="preserve">10 ft dia x 36 ft shell; empty weight; height incl saddles</t>
  </si>
  <si>
    <t xml:space="preserve">REF-001</t>
  </si>
  <si>
    <t xml:space="preserve">Reference</t>
  </si>
  <si>
    <t xml:space="preserve">ISO container</t>
  </si>
  <si>
    <t xml:space="preserve">ISO 668</t>
  </si>
  <si>
    <t xml:space="preserve">40 ft (1AA) container</t>
  </si>
  <si>
    <t xml:space="preserve">Standard 40 ft ISO container external envelope</t>
  </si>
  <si>
    <t xml:space="preserve">Containerized equipment ref</t>
  </si>
  <si>
    <t xml:space="preserve">ISO 668 standard</t>
  </si>
  <si>
    <t xml:space="preserve">Verified (standard)</t>
  </si>
  <si>
    <t xml:space="preserve">ISO 668 exact values; high-cube 2896 mm; tare ~3700-3900 kg</t>
  </si>
  <si>
    <t xml:space="preserve">Assembly_ID</t>
  </si>
  <si>
    <t xml:space="preserve">Assembly_Name</t>
  </si>
  <si>
    <t xml:space="preserve">Component</t>
  </si>
  <si>
    <t xml:space="preserve">Qty</t>
  </si>
  <si>
    <t xml:space="preserve">Placement_Notes</t>
  </si>
  <si>
    <t xml:space="preserve">ASM-001</t>
  </si>
  <si>
    <t xml:space="preserve">NVIDIA GB200 NVL72 rack</t>
  </si>
  <si>
    <t xml:space="preserve">Rack frame (MGX/ORv3-derived, liquid-cooled)</t>
  </si>
  <si>
    <t xml:space="preserve">Overall envelope ~600 x 1068 x 2236 mm; blind-mate liquid manifolds at rear</t>
  </si>
  <si>
    <t xml:space="preserve">GB200 compute tray (1U MGX)</t>
  </si>
  <si>
    <t xml:space="preserve">Stacked in two banks; 9 above and 9 below the NVSwitch section (typical layout)</t>
  </si>
  <si>
    <t xml:space="preserve">NVSwitch tray (1U)</t>
  </si>
  <si>
    <t xml:space="preserve">Center of rack; NVLink cable cartridge / blind-mate backplane connects trays</t>
  </si>
  <si>
    <t xml:space="preserve">Top and/or bottom of rack; feeds 48 Vdc busbar; total ~132 kW capacity for ~120 kW load</t>
  </si>
  <si>
    <t xml:space="preserve">ASM-002</t>
  </si>
  <si>
    <t xml:space="preserve">Example DLC AI pod (8-rack row)</t>
  </si>
  <si>
    <t xml:space="preserve">GB200 NVL72 rack</t>
  </si>
  <si>
    <t xml:space="preserve">Single row, 600 mm rack pitch; hot aisle at rear</t>
  </si>
  <si>
    <t xml:space="preserve">Row CDU (Liebert XDU class)</t>
  </si>
  <si>
    <t xml:space="preserve">Ends of row; N+1 coolant distribution to rack manifolds</t>
  </si>
  <si>
    <t xml:space="preserve">Overhead busway run (A+B)</t>
  </si>
  <si>
    <t xml:space="preserve">Two runs above the row; plug-in units drop to each rack</t>
  </si>
  <si>
    <t xml:space="preserve">Hot-aisle containment; roof panels span rack tops</t>
  </si>
  <si>
    <t xml:space="preserve">QM9700 fabric switch</t>
  </si>
  <si>
    <t xml:space="preserve">In network racks at row end (not counted here); scale-out fabric</t>
  </si>
  <si>
    <t xml:space="preserve">Standard</t>
  </si>
  <si>
    <t xml:space="preserve">Parameter</t>
  </si>
  <si>
    <t xml:space="preserve">Value_mm</t>
  </si>
  <si>
    <t xml:space="preserve">Value_note</t>
  </si>
  <si>
    <t xml:space="preserve">Unit conversion</t>
  </si>
  <si>
    <t xml:space="preserve">1 inch</t>
  </si>
  <si>
    <t xml:space="preserve">exact</t>
  </si>
  <si>
    <t xml:space="preserve">All imperial datasheet values convert at exactly 25.4 mm/in</t>
  </si>
  <si>
    <t xml:space="preserve">EIA-310 (19in rack)</t>
  </si>
  <si>
    <t xml:space="preserve">1 rack unit (RU/U) height</t>
  </si>
  <si>
    <t xml:space="preserve">1.75 in; stack RU x 44.45 for mounted equipment heights</t>
  </si>
  <si>
    <t xml:space="preserve">Panel/faceplate width</t>
  </si>
  <si>
    <t xml:space="preserve">The '19 inches'</t>
  </si>
  <si>
    <t xml:space="preserve">Rail opening (usable width)</t>
  </si>
  <si>
    <t xml:space="preserve">17.75 in between rails</t>
  </si>
  <si>
    <t xml:space="preserve">Mounting hole horizontal spacing</t>
  </si>
  <si>
    <t xml:space="preserve">18.312 in center-to-center</t>
  </si>
  <si>
    <t xml:space="preserve">Hole pattern within 1U</t>
  </si>
  <si>
    <t xml:space="preserve">15.875 / 15.875 / 12.7</t>
  </si>
  <si>
    <t xml:space="preserve">Repeating vertical hole spacing pattern per U</t>
  </si>
  <si>
    <t xml:space="preserve">OCP Open Rack v3</t>
  </si>
  <si>
    <t xml:space="preserve">1 OpenU (OU) height</t>
  </si>
  <si>
    <t xml:space="preserve">OCP rack unit pitch</t>
  </si>
  <si>
    <t xml:space="preserve">Equipment bay width</t>
  </si>
  <si>
    <t xml:space="preserve">The '21 inch' bay; GB200 NVL72 trays use this</t>
  </si>
  <si>
    <t xml:space="preserve">Typical rack external width</t>
  </si>
  <si>
    <t xml:space="preserve">nominal</t>
  </si>
  <si>
    <t xml:space="preserve">Same footprint width class as EIA racks</t>
  </si>
  <si>
    <t xml:space="preserve">PCIe CEM spec</t>
  </si>
  <si>
    <t xml:space="preserve">Full-height card height</t>
  </si>
  <si>
    <t xml:space="preserve">4.376 in</t>
  </si>
  <si>
    <t xml:space="preserve">Low-profile card height</t>
  </si>
  <si>
    <t xml:space="preserve">Full-length card length</t>
  </si>
  <si>
    <t xml:space="preserve">12.283 in</t>
  </si>
  <si>
    <t xml:space="preserve">Half-length card length</t>
  </si>
  <si>
    <t xml:space="preserve">Slot pitch (single slot)</t>
  </si>
  <si>
    <t xml:space="preserve">0.8 in; dual-slot card occupies ~2 pitches</t>
  </si>
  <si>
    <t xml:space="preserve">Raised floor (US)</t>
  </si>
  <si>
    <t xml:space="preserve">Standard tile</t>
  </si>
  <si>
    <t xml:space="preserve">609.6 x 609.6</t>
  </si>
  <si>
    <t xml:space="preserve">24 x 24 in; metric markets 600 x 600 mm</t>
  </si>
  <si>
    <t xml:space="preserve">Raised floor</t>
  </si>
  <si>
    <t xml:space="preserve">Typical finished floor height</t>
  </si>
  <si>
    <t xml:space="preserve">300 - 1200</t>
  </si>
  <si>
    <t xml:space="preserve">150-1800 mm available; set by airflow/pipe needs</t>
  </si>
  <si>
    <t xml:space="preserve">Layout convention</t>
  </si>
  <si>
    <t xml:space="preserve">Cold aisle width (typical)</t>
  </si>
  <si>
    <t xml:space="preserve">2 tiles</t>
  </si>
  <si>
    <t xml:space="preserve">48 in typical minimum for equipment install</t>
  </si>
  <si>
    <t xml:space="preserve">Hot aisle width (typical)</t>
  </si>
  <si>
    <t xml:space="preserve">1.5 tiles</t>
  </si>
  <si>
    <t xml:space="preserve">36 in typical minimum</t>
  </si>
  <si>
    <t xml:space="preserve">Row pitch (7-tile hot/cold layout)</t>
  </si>
  <si>
    <t xml:space="preserve">7 tiles</t>
  </si>
  <si>
    <t xml:space="preserve">Common repeating pitch: rack depth + both aisles</t>
  </si>
  <si>
    <t xml:space="preserve">40 ft container L x W x H</t>
  </si>
  <si>
    <t xml:space="preserve">12192 x 2438 x 2591</t>
  </si>
  <si>
    <t xml:space="preserve">Exact; high-cube height 2896 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</si>
</sst>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  <c r="C6" s="5" t="s">
        <v>4</v>
      </c>
    </row>
    <row r="7" customFormat="false" ht="23.85" hidden="false" customHeight="false" outlineLevel="0" collapsed="false">
      <c r="B7" s="4" t="s">
        <v>5</v>
      </c>
      <c r="C7" s="5" t="s">
        <v>6</v>
      </c>
    </row>
    <row r="8" customFormat="false" ht="23.8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6" t="s">
        <v>10</v>
      </c>
    </row>
    <row r="11" customFormat="false" ht="15" hidden="false" customHeight="false" outlineLevel="0" collapsed="false">
      <c r="B11" s="3" t="s">
        <v>11</v>
      </c>
    </row>
    <row r="12" customFormat="false" ht="23.85" hidden="false" customHeight="false" outlineLevel="0" collapsed="false">
      <c r="B12" s="4" t="s">
        <v>12</v>
      </c>
      <c r="C12" s="5" t="s">
        <v>13</v>
      </c>
    </row>
    <row r="13" customFormat="false" ht="23.85" hidden="false" customHeight="false" outlineLevel="0" collapsed="false">
      <c r="B13" s="4" t="s">
        <v>14</v>
      </c>
      <c r="C13" s="5" t="s">
        <v>15</v>
      </c>
    </row>
    <row r="14" customFormat="false" ht="15" hidden="false" customHeight="false" outlineLevel="0" collapsed="false">
      <c r="B14" s="4" t="s">
        <v>16</v>
      </c>
      <c r="C14" s="5" t="s">
        <v>17</v>
      </c>
    </row>
    <row r="15" customFormat="false" ht="23.85" hidden="false" customHeight="false" outlineLevel="0" collapsed="false">
      <c r="B15" s="4" t="s">
        <v>18</v>
      </c>
      <c r="C15" s="5" t="s">
        <v>19</v>
      </c>
    </row>
    <row r="17" customFormat="false" ht="15" hidden="false" customHeight="false" outlineLevel="0" collapsed="false">
      <c r="B17" s="3" t="s">
        <v>20</v>
      </c>
    </row>
    <row r="18" customFormat="false" ht="35.05" hidden="false" customHeight="false" outlineLevel="0" collapsed="false">
      <c r="B18" s="4" t="s">
        <v>21</v>
      </c>
      <c r="C18" s="5" t="s">
        <v>22</v>
      </c>
    </row>
    <row r="19" customFormat="false" ht="35.05" hidden="false" customHeight="false" outlineLevel="0" collapsed="false">
      <c r="B19" s="4" t="s">
        <v>23</v>
      </c>
      <c r="C19" s="5" t="s">
        <v>24</v>
      </c>
    </row>
    <row r="20" customFormat="false" ht="15" hidden="false" customHeight="false" outlineLevel="0" collapsed="false">
      <c r="B20" s="4" t="s">
        <v>25</v>
      </c>
      <c r="C20" s="5" t="s">
        <v>26</v>
      </c>
    </row>
    <row r="22" customFormat="false" ht="15" hidden="false" customHeight="false" outlineLevel="0" collapsed="false">
      <c r="B22" s="3" t="s">
        <v>27</v>
      </c>
    </row>
    <row r="23" customFormat="false" ht="15" hidden="false" customHeight="false" outlineLevel="0" collapsed="false">
      <c r="B23" s="4" t="s">
        <v>28</v>
      </c>
      <c r="C23" s="5" t="n">
        <f aca="false">COUNTA(Components!A2:A500)</f>
        <v>61</v>
      </c>
    </row>
    <row r="24" customFormat="false" ht="15" hidden="false" customHeight="false" outlineLevel="0" collapsed="false">
      <c r="B24" s="4" t="s">
        <v>29</v>
      </c>
      <c r="C24" s="5" t="n">
        <f aca="false">COUNTIF(Components!R2:R500,"Verified (datasheet)")+COUNTIF(Components!R2:R500,"Verified (standard)")</f>
        <v>1</v>
      </c>
    </row>
    <row r="25" customFormat="false" ht="15" hidden="false" customHeight="false" outlineLevel="0" collapsed="false">
      <c r="B25" s="4" t="s">
        <v>30</v>
      </c>
      <c r="C25" s="5" t="n">
        <f aca="false">COUNTIF(Components!R2:R500,"Estimated (recall)")</f>
        <v>60</v>
      </c>
    </row>
    <row r="26" customFormat="false" ht="15" hidden="false" customHeight="false" outlineLevel="0" collapsed="false">
      <c r="B26" s="4" t="s">
        <v>31</v>
      </c>
      <c r="C26" s="5" t="n">
        <f aca="false">COUNTIF(Components!T2:T500,"Modeled")+COUNTIF(Components!T2:T500,"Approved")</f>
        <v>0</v>
      </c>
    </row>
    <row r="27" customFormat="false" ht="15" hidden="false" customHeight="false" outlineLevel="0" collapsed="false">
      <c r="B27" s="4" t="s">
        <v>32</v>
      </c>
      <c r="C27" s="5" t="n">
        <f aca="false">SUMPRODUCT((Components!A2:A500&lt;&gt;"")*((Components!H2:H500="")+(Components!I2:I500="")+(Components!J2:J500="")&gt;0))</f>
        <v>4</v>
      </c>
    </row>
    <row r="29" customFormat="false" ht="15" hidden="false" customHeight="false" outlineLevel="0" collapsed="false">
      <c r="B29" s="3" t="s">
        <v>33</v>
      </c>
    </row>
    <row r="30" customFormat="false" ht="23.85" hidden="false" customHeight="false" outlineLevel="0" collapsed="false">
      <c r="B30" s="4" t="s">
        <v>34</v>
      </c>
      <c r="C30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46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7"/>
    <col collapsed="false" customWidth="true" hidden="false" outlineLevel="0" max="15" min="15" style="0" width="20"/>
    <col collapsed="false" customWidth="true" hidden="false" outlineLevel="0" max="16" min="16" style="0" width="24"/>
    <col collapsed="false" customWidth="true" hidden="false" outlineLevel="0" max="17" min="17" style="0" width="42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5"/>
    <col collapsed="false" customWidth="true" hidden="false" outlineLevel="0" max="21" min="21" style="0" width="24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27.75" hidden="false" customHeight="true" outlineLevel="0" collapsed="false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18</v>
      </c>
      <c r="N1" s="7" t="s">
        <v>48</v>
      </c>
      <c r="O1" s="7" t="s">
        <v>49</v>
      </c>
      <c r="P1" s="7" t="s">
        <v>50</v>
      </c>
      <c r="Q1" s="7" t="s">
        <v>51</v>
      </c>
      <c r="R1" s="7" t="s">
        <v>52</v>
      </c>
      <c r="S1" s="7" t="s">
        <v>53</v>
      </c>
      <c r="T1" s="7" t="s">
        <v>54</v>
      </c>
      <c r="U1" s="7" t="s">
        <v>55</v>
      </c>
      <c r="V1" s="7" t="s">
        <v>56</v>
      </c>
      <c r="W1" s="7" t="s">
        <v>57</v>
      </c>
    </row>
    <row r="2" customFormat="false" ht="15" hidden="false" customHeight="false" outlineLevel="0" collapsed="false">
      <c r="A2" s="8" t="s">
        <v>58</v>
      </c>
      <c r="B2" s="8" t="s">
        <v>59</v>
      </c>
      <c r="C2" s="8" t="s">
        <v>60</v>
      </c>
      <c r="D2" s="8" t="s">
        <v>61</v>
      </c>
      <c r="E2" s="8" t="s">
        <v>62</v>
      </c>
      <c r="F2" s="8" t="s">
        <v>63</v>
      </c>
      <c r="G2" s="8" t="s">
        <v>64</v>
      </c>
      <c r="H2" s="9" t="n">
        <v>600</v>
      </c>
      <c r="I2" s="9" t="n">
        <v>1070</v>
      </c>
      <c r="J2" s="9" t="n">
        <v>1991</v>
      </c>
      <c r="K2" s="8" t="n">
        <v>42</v>
      </c>
      <c r="L2" s="9" t="n">
        <v>131</v>
      </c>
      <c r="M2" s="9"/>
      <c r="N2" s="8"/>
      <c r="O2" s="8" t="s">
        <v>65</v>
      </c>
      <c r="P2" s="8" t="s">
        <v>66</v>
      </c>
      <c r="Q2" s="8" t="s">
        <v>67</v>
      </c>
      <c r="R2" s="8" t="s">
        <v>68</v>
      </c>
      <c r="S2" s="10"/>
      <c r="T2" s="10" t="s">
        <v>69</v>
      </c>
      <c r="U2" s="10"/>
      <c r="V2" s="10" t="s">
        <v>70</v>
      </c>
      <c r="W2" s="8" t="s">
        <v>71</v>
      </c>
    </row>
    <row r="3" customFormat="false" ht="15" hidden="false" customHeight="false" outlineLevel="0" collapsed="false">
      <c r="A3" s="8" t="s">
        <v>72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73</v>
      </c>
      <c r="G3" s="8" t="s">
        <v>74</v>
      </c>
      <c r="H3" s="9" t="n">
        <v>600</v>
      </c>
      <c r="I3" s="9" t="n">
        <v>1200</v>
      </c>
      <c r="J3" s="9" t="n">
        <v>2258</v>
      </c>
      <c r="K3" s="8" t="n">
        <v>48</v>
      </c>
      <c r="L3" s="9" t="n">
        <v>155</v>
      </c>
      <c r="M3" s="9"/>
      <c r="N3" s="8"/>
      <c r="O3" s="8" t="s">
        <v>65</v>
      </c>
      <c r="P3" s="8" t="s">
        <v>75</v>
      </c>
      <c r="Q3" s="8" t="s">
        <v>76</v>
      </c>
      <c r="R3" s="8" t="s">
        <v>68</v>
      </c>
      <c r="S3" s="10"/>
      <c r="T3" s="10" t="s">
        <v>69</v>
      </c>
      <c r="U3" s="10"/>
      <c r="V3" s="10" t="s">
        <v>70</v>
      </c>
      <c r="W3" s="8"/>
    </row>
    <row r="4" customFormat="false" ht="15" hidden="false" customHeight="false" outlineLevel="0" collapsed="false">
      <c r="A4" s="8" t="s">
        <v>77</v>
      </c>
      <c r="B4" s="8" t="s">
        <v>59</v>
      </c>
      <c r="C4" s="8" t="s">
        <v>60</v>
      </c>
      <c r="D4" s="8" t="s">
        <v>61</v>
      </c>
      <c r="E4" s="8" t="s">
        <v>78</v>
      </c>
      <c r="F4" s="8" t="s">
        <v>79</v>
      </c>
      <c r="G4" s="8" t="s">
        <v>80</v>
      </c>
      <c r="H4" s="9" t="n">
        <v>800</v>
      </c>
      <c r="I4" s="9" t="n">
        <v>1200</v>
      </c>
      <c r="J4" s="9" t="n">
        <v>2265</v>
      </c>
      <c r="K4" s="8" t="n">
        <v>48</v>
      </c>
      <c r="L4" s="9"/>
      <c r="M4" s="9"/>
      <c r="N4" s="8"/>
      <c r="O4" s="8" t="s">
        <v>65</v>
      </c>
      <c r="P4" s="8" t="s">
        <v>81</v>
      </c>
      <c r="Q4" s="8" t="s">
        <v>82</v>
      </c>
      <c r="R4" s="8" t="s">
        <v>68</v>
      </c>
      <c r="S4" s="10"/>
      <c r="T4" s="10" t="s">
        <v>69</v>
      </c>
      <c r="U4" s="10"/>
      <c r="V4" s="10" t="s">
        <v>70</v>
      </c>
      <c r="W4" s="8" t="s">
        <v>83</v>
      </c>
    </row>
    <row r="5" customFormat="false" ht="15" hidden="false" customHeight="false" outlineLevel="0" collapsed="false">
      <c r="A5" s="8" t="s">
        <v>84</v>
      </c>
      <c r="B5" s="8" t="s">
        <v>59</v>
      </c>
      <c r="C5" s="8" t="s">
        <v>60</v>
      </c>
      <c r="D5" s="8" t="s">
        <v>85</v>
      </c>
      <c r="E5" s="8" t="s">
        <v>86</v>
      </c>
      <c r="F5" s="8" t="s">
        <v>87</v>
      </c>
      <c r="G5" s="8" t="s">
        <v>88</v>
      </c>
      <c r="H5" s="9" t="n">
        <v>600</v>
      </c>
      <c r="I5" s="9" t="n">
        <v>1068</v>
      </c>
      <c r="J5" s="9" t="n">
        <v>2236</v>
      </c>
      <c r="K5" s="8"/>
      <c r="L5" s="9" t="n">
        <v>1360</v>
      </c>
      <c r="M5" s="9" t="n">
        <v>120</v>
      </c>
      <c r="N5" s="8" t="s">
        <v>89</v>
      </c>
      <c r="O5" s="8" t="s">
        <v>65</v>
      </c>
      <c r="P5" s="8" t="s">
        <v>90</v>
      </c>
      <c r="Q5" s="8" t="s">
        <v>91</v>
      </c>
      <c r="R5" s="8" t="s">
        <v>68</v>
      </c>
      <c r="S5" s="10"/>
      <c r="T5" s="10" t="s">
        <v>69</v>
      </c>
      <c r="U5" s="10"/>
      <c r="V5" s="10" t="s">
        <v>70</v>
      </c>
      <c r="W5" s="8" t="s">
        <v>92</v>
      </c>
    </row>
    <row r="6" customFormat="false" ht="15" hidden="false" customHeight="false" outlineLevel="0" collapsed="false">
      <c r="A6" s="8" t="s">
        <v>93</v>
      </c>
      <c r="B6" s="8" t="s">
        <v>59</v>
      </c>
      <c r="C6" s="8" t="s">
        <v>60</v>
      </c>
      <c r="D6" s="8" t="s">
        <v>85</v>
      </c>
      <c r="E6" s="8" t="s">
        <v>86</v>
      </c>
      <c r="F6" s="8" t="s">
        <v>94</v>
      </c>
      <c r="G6" s="8" t="s">
        <v>95</v>
      </c>
      <c r="H6" s="9" t="n">
        <v>600</v>
      </c>
      <c r="I6" s="9" t="n">
        <v>1068</v>
      </c>
      <c r="J6" s="9" t="n">
        <v>2236</v>
      </c>
      <c r="K6" s="8"/>
      <c r="L6" s="9"/>
      <c r="M6" s="9" t="n">
        <v>135</v>
      </c>
      <c r="N6" s="8" t="s">
        <v>89</v>
      </c>
      <c r="O6" s="8" t="s">
        <v>65</v>
      </c>
      <c r="P6" s="8" t="s">
        <v>90</v>
      </c>
      <c r="Q6" s="8" t="s">
        <v>96</v>
      </c>
      <c r="R6" s="8" t="s">
        <v>68</v>
      </c>
      <c r="S6" s="10"/>
      <c r="T6" s="10" t="s">
        <v>69</v>
      </c>
      <c r="U6" s="10"/>
      <c r="V6" s="10" t="s">
        <v>70</v>
      </c>
      <c r="W6" s="8" t="s">
        <v>97</v>
      </c>
    </row>
    <row r="7" customFormat="false" ht="15" hidden="false" customHeight="false" outlineLevel="0" collapsed="false">
      <c r="A7" s="8" t="s">
        <v>98</v>
      </c>
      <c r="B7" s="8" t="s">
        <v>59</v>
      </c>
      <c r="C7" s="8" t="s">
        <v>60</v>
      </c>
      <c r="D7" s="8" t="s">
        <v>99</v>
      </c>
      <c r="E7" s="8" t="s">
        <v>100</v>
      </c>
      <c r="F7" s="8" t="s">
        <v>101</v>
      </c>
      <c r="G7" s="8" t="s">
        <v>102</v>
      </c>
      <c r="H7" s="9" t="n">
        <v>600</v>
      </c>
      <c r="I7" s="9" t="n">
        <v>1068</v>
      </c>
      <c r="J7" s="9" t="n">
        <v>2300</v>
      </c>
      <c r="K7" s="8"/>
      <c r="L7" s="9"/>
      <c r="M7" s="9"/>
      <c r="N7" s="8"/>
      <c r="O7" s="8" t="s">
        <v>65</v>
      </c>
      <c r="P7" s="8" t="s">
        <v>103</v>
      </c>
      <c r="Q7" s="8" t="s">
        <v>104</v>
      </c>
      <c r="R7" s="8" t="s">
        <v>68</v>
      </c>
      <c r="S7" s="10"/>
      <c r="T7" s="10" t="s">
        <v>69</v>
      </c>
      <c r="U7" s="10"/>
      <c r="V7" s="10" t="s">
        <v>70</v>
      </c>
      <c r="W7" s="8" t="s">
        <v>105</v>
      </c>
    </row>
    <row r="8" customFormat="false" ht="15" hidden="false" customHeight="false" outlineLevel="0" collapsed="false">
      <c r="A8" s="8" t="s">
        <v>106</v>
      </c>
      <c r="B8" s="8" t="s">
        <v>107</v>
      </c>
      <c r="C8" s="8" t="s">
        <v>108</v>
      </c>
      <c r="D8" s="8" t="s">
        <v>109</v>
      </c>
      <c r="E8" s="8" t="s">
        <v>86</v>
      </c>
      <c r="F8" s="8" t="s">
        <v>110</v>
      </c>
      <c r="G8" s="8" t="s">
        <v>111</v>
      </c>
      <c r="H8" s="9" t="n">
        <v>482.2</v>
      </c>
      <c r="I8" s="9" t="n">
        <v>897.1</v>
      </c>
      <c r="J8" s="9" t="n">
        <v>356</v>
      </c>
      <c r="K8" s="8" t="n">
        <v>8</v>
      </c>
      <c r="L8" s="9" t="n">
        <v>130.45</v>
      </c>
      <c r="M8" s="9" t="n">
        <v>10.2</v>
      </c>
      <c r="N8" s="8" t="s">
        <v>89</v>
      </c>
      <c r="O8" s="8" t="s">
        <v>112</v>
      </c>
      <c r="P8" s="8" t="s">
        <v>113</v>
      </c>
      <c r="Q8" s="8" t="s">
        <v>114</v>
      </c>
      <c r="R8" s="8" t="s">
        <v>68</v>
      </c>
      <c r="S8" s="10"/>
      <c r="T8" s="10" t="s">
        <v>69</v>
      </c>
      <c r="U8" s="10"/>
      <c r="V8" s="10" t="s">
        <v>70</v>
      </c>
      <c r="W8" s="8" t="s">
        <v>115</v>
      </c>
    </row>
    <row r="9" customFormat="false" ht="15" hidden="false" customHeight="false" outlineLevel="0" collapsed="false">
      <c r="A9" s="8" t="s">
        <v>116</v>
      </c>
      <c r="B9" s="8" t="s">
        <v>107</v>
      </c>
      <c r="C9" s="8" t="s">
        <v>108</v>
      </c>
      <c r="D9" s="8" t="s">
        <v>109</v>
      </c>
      <c r="E9" s="8" t="s">
        <v>86</v>
      </c>
      <c r="F9" s="8" t="s">
        <v>117</v>
      </c>
      <c r="G9" s="8" t="s">
        <v>118</v>
      </c>
      <c r="H9" s="9" t="n">
        <v>482.2</v>
      </c>
      <c r="I9" s="9" t="n">
        <v>897.1</v>
      </c>
      <c r="J9" s="9" t="n">
        <v>356</v>
      </c>
      <c r="K9" s="8" t="n">
        <v>8</v>
      </c>
      <c r="L9" s="9" t="n">
        <v>130.45</v>
      </c>
      <c r="M9" s="9" t="n">
        <v>10.2</v>
      </c>
      <c r="N9" s="8" t="s">
        <v>89</v>
      </c>
      <c r="O9" s="8" t="s">
        <v>112</v>
      </c>
      <c r="P9" s="8" t="s">
        <v>113</v>
      </c>
      <c r="Q9" s="8" t="s">
        <v>119</v>
      </c>
      <c r="R9" s="8" t="s">
        <v>68</v>
      </c>
      <c r="S9" s="10"/>
      <c r="T9" s="10" t="s">
        <v>69</v>
      </c>
      <c r="U9" s="10"/>
      <c r="V9" s="10" t="s">
        <v>70</v>
      </c>
      <c r="W9" s="8" t="s">
        <v>120</v>
      </c>
    </row>
    <row r="10" customFormat="false" ht="15" hidden="false" customHeight="false" outlineLevel="0" collapsed="false">
      <c r="A10" s="8" t="s">
        <v>121</v>
      </c>
      <c r="B10" s="8" t="s">
        <v>107</v>
      </c>
      <c r="C10" s="8" t="s">
        <v>108</v>
      </c>
      <c r="D10" s="8" t="s">
        <v>109</v>
      </c>
      <c r="E10" s="8" t="s">
        <v>86</v>
      </c>
      <c r="F10" s="8" t="s">
        <v>122</v>
      </c>
      <c r="G10" s="8" t="s">
        <v>123</v>
      </c>
      <c r="H10" s="9" t="n">
        <v>482.2</v>
      </c>
      <c r="I10" s="9" t="n">
        <v>897.1</v>
      </c>
      <c r="J10" s="9" t="n">
        <v>444</v>
      </c>
      <c r="K10" s="8" t="n">
        <v>10</v>
      </c>
      <c r="L10" s="9" t="n">
        <v>142</v>
      </c>
      <c r="M10" s="9" t="n">
        <v>14.3</v>
      </c>
      <c r="N10" s="8" t="s">
        <v>89</v>
      </c>
      <c r="O10" s="8" t="s">
        <v>112</v>
      </c>
      <c r="P10" s="8" t="s">
        <v>124</v>
      </c>
      <c r="Q10" s="8" t="s">
        <v>125</v>
      </c>
      <c r="R10" s="8" t="s">
        <v>68</v>
      </c>
      <c r="S10" s="10"/>
      <c r="T10" s="10" t="s">
        <v>69</v>
      </c>
      <c r="U10" s="10"/>
      <c r="V10" s="10" t="s">
        <v>70</v>
      </c>
      <c r="W10" s="8" t="s">
        <v>126</v>
      </c>
    </row>
    <row r="11" customFormat="false" ht="15" hidden="false" customHeight="false" outlineLevel="0" collapsed="false">
      <c r="A11" s="8" t="s">
        <v>127</v>
      </c>
      <c r="B11" s="8" t="s">
        <v>107</v>
      </c>
      <c r="C11" s="8" t="s">
        <v>108</v>
      </c>
      <c r="D11" s="8" t="s">
        <v>128</v>
      </c>
      <c r="E11" s="8" t="s">
        <v>86</v>
      </c>
      <c r="F11" s="8" t="s">
        <v>129</v>
      </c>
      <c r="G11" s="8" t="s">
        <v>130</v>
      </c>
      <c r="H11" s="9" t="n">
        <v>538</v>
      </c>
      <c r="I11" s="9"/>
      <c r="J11" s="9" t="n">
        <v>44.5</v>
      </c>
      <c r="K11" s="8" t="s">
        <v>131</v>
      </c>
      <c r="L11" s="9"/>
      <c r="M11" s="9" t="n">
        <v>5.4</v>
      </c>
      <c r="N11" s="8" t="s">
        <v>89</v>
      </c>
      <c r="O11" s="8" t="s">
        <v>132</v>
      </c>
      <c r="P11" s="8" t="s">
        <v>133</v>
      </c>
      <c r="Q11" s="8" t="s">
        <v>134</v>
      </c>
      <c r="R11" s="8" t="s">
        <v>68</v>
      </c>
      <c r="S11" s="10"/>
      <c r="T11" s="10" t="s">
        <v>69</v>
      </c>
      <c r="U11" s="10"/>
      <c r="V11" s="10" t="s">
        <v>70</v>
      </c>
      <c r="W11" s="8" t="s">
        <v>135</v>
      </c>
    </row>
    <row r="12" customFormat="false" ht="15" hidden="false" customHeight="false" outlineLevel="0" collapsed="false">
      <c r="A12" s="8" t="s">
        <v>136</v>
      </c>
      <c r="B12" s="8" t="s">
        <v>107</v>
      </c>
      <c r="C12" s="8" t="s">
        <v>108</v>
      </c>
      <c r="D12" s="8" t="s">
        <v>137</v>
      </c>
      <c r="E12" s="8" t="s">
        <v>86</v>
      </c>
      <c r="F12" s="8" t="s">
        <v>138</v>
      </c>
      <c r="G12" s="8" t="s">
        <v>139</v>
      </c>
      <c r="H12" s="9" t="n">
        <v>538</v>
      </c>
      <c r="I12" s="9"/>
      <c r="J12" s="9" t="n">
        <v>44.5</v>
      </c>
      <c r="K12" s="8" t="s">
        <v>131</v>
      </c>
      <c r="L12" s="9"/>
      <c r="M12" s="9"/>
      <c r="N12" s="8"/>
      <c r="O12" s="8" t="s">
        <v>132</v>
      </c>
      <c r="P12" s="8" t="s">
        <v>140</v>
      </c>
      <c r="Q12" s="8" t="s">
        <v>134</v>
      </c>
      <c r="R12" s="8" t="s">
        <v>68</v>
      </c>
      <c r="S12" s="10"/>
      <c r="T12" s="10" t="s">
        <v>69</v>
      </c>
      <c r="U12" s="10"/>
      <c r="V12" s="10" t="s">
        <v>70</v>
      </c>
      <c r="W12" s="8" t="s">
        <v>141</v>
      </c>
    </row>
    <row r="13" customFormat="false" ht="15" hidden="false" customHeight="false" outlineLevel="0" collapsed="false">
      <c r="A13" s="8" t="s">
        <v>142</v>
      </c>
      <c r="B13" s="8" t="s">
        <v>107</v>
      </c>
      <c r="C13" s="8" t="s">
        <v>108</v>
      </c>
      <c r="D13" s="8" t="s">
        <v>109</v>
      </c>
      <c r="E13" s="8" t="s">
        <v>143</v>
      </c>
      <c r="F13" s="8" t="s">
        <v>144</v>
      </c>
      <c r="G13" s="8" t="s">
        <v>145</v>
      </c>
      <c r="H13" s="9" t="n">
        <v>447</v>
      </c>
      <c r="I13" s="9" t="n">
        <v>833</v>
      </c>
      <c r="J13" s="9" t="n">
        <v>356</v>
      </c>
      <c r="K13" s="8" t="n">
        <v>8</v>
      </c>
      <c r="L13" s="9"/>
      <c r="M13" s="9" t="n">
        <v>10.2</v>
      </c>
      <c r="N13" s="8" t="s">
        <v>89</v>
      </c>
      <c r="O13" s="8" t="s">
        <v>112</v>
      </c>
      <c r="P13" s="8" t="s">
        <v>113</v>
      </c>
      <c r="Q13" s="8" t="s">
        <v>146</v>
      </c>
      <c r="R13" s="8" t="s">
        <v>68</v>
      </c>
      <c r="S13" s="10"/>
      <c r="T13" s="10" t="s">
        <v>69</v>
      </c>
      <c r="U13" s="10"/>
      <c r="V13" s="10" t="s">
        <v>70</v>
      </c>
      <c r="W13" s="8" t="s">
        <v>147</v>
      </c>
    </row>
    <row r="14" customFormat="false" ht="15" hidden="false" customHeight="false" outlineLevel="0" collapsed="false">
      <c r="A14" s="8" t="s">
        <v>148</v>
      </c>
      <c r="B14" s="8" t="s">
        <v>107</v>
      </c>
      <c r="C14" s="8" t="s">
        <v>108</v>
      </c>
      <c r="D14" s="8" t="s">
        <v>109</v>
      </c>
      <c r="E14" s="8" t="s">
        <v>149</v>
      </c>
      <c r="F14" s="8" t="s">
        <v>150</v>
      </c>
      <c r="G14" s="8" t="s">
        <v>151</v>
      </c>
      <c r="H14" s="9" t="n">
        <v>482</v>
      </c>
      <c r="I14" s="9" t="n">
        <v>1009</v>
      </c>
      <c r="J14" s="9" t="n">
        <v>263.2</v>
      </c>
      <c r="K14" s="8" t="n">
        <v>6</v>
      </c>
      <c r="L14" s="9" t="n">
        <v>105</v>
      </c>
      <c r="M14" s="9" t="n">
        <v>10.2</v>
      </c>
      <c r="N14" s="8" t="s">
        <v>89</v>
      </c>
      <c r="O14" s="8" t="s">
        <v>112</v>
      </c>
      <c r="P14" s="8" t="s">
        <v>152</v>
      </c>
      <c r="Q14" s="8" t="s">
        <v>153</v>
      </c>
      <c r="R14" s="8" t="s">
        <v>68</v>
      </c>
      <c r="S14" s="10"/>
      <c r="T14" s="10" t="s">
        <v>69</v>
      </c>
      <c r="U14" s="10"/>
      <c r="V14" s="10" t="s">
        <v>70</v>
      </c>
      <c r="W14" s="8" t="s">
        <v>154</v>
      </c>
    </row>
    <row r="15" customFormat="false" ht="15" hidden="false" customHeight="false" outlineLevel="0" collapsed="false">
      <c r="A15" s="8" t="s">
        <v>155</v>
      </c>
      <c r="B15" s="8" t="s">
        <v>107</v>
      </c>
      <c r="C15" s="8" t="s">
        <v>108</v>
      </c>
      <c r="D15" s="8" t="s">
        <v>156</v>
      </c>
      <c r="E15" s="8" t="s">
        <v>149</v>
      </c>
      <c r="F15" s="8" t="s">
        <v>157</v>
      </c>
      <c r="G15" s="8" t="s">
        <v>158</v>
      </c>
      <c r="H15" s="9" t="n">
        <v>482</v>
      </c>
      <c r="I15" s="9" t="n">
        <v>772</v>
      </c>
      <c r="J15" s="9" t="n">
        <v>86.8</v>
      </c>
      <c r="K15" s="8" t="n">
        <v>2</v>
      </c>
      <c r="L15" s="9" t="n">
        <v>34</v>
      </c>
      <c r="M15" s="9" t="n">
        <v>1</v>
      </c>
      <c r="N15" s="8" t="s">
        <v>89</v>
      </c>
      <c r="O15" s="8" t="s">
        <v>112</v>
      </c>
      <c r="P15" s="8" t="s">
        <v>159</v>
      </c>
      <c r="Q15" s="8" t="s">
        <v>160</v>
      </c>
      <c r="R15" s="8" t="s">
        <v>68</v>
      </c>
      <c r="S15" s="10"/>
      <c r="T15" s="10" t="s">
        <v>69</v>
      </c>
      <c r="U15" s="10"/>
      <c r="V15" s="10" t="s">
        <v>70</v>
      </c>
      <c r="W15" s="8" t="s">
        <v>161</v>
      </c>
    </row>
    <row r="16" customFormat="false" ht="15" hidden="false" customHeight="false" outlineLevel="0" collapsed="false">
      <c r="A16" s="8" t="s">
        <v>162</v>
      </c>
      <c r="B16" s="8" t="s">
        <v>107</v>
      </c>
      <c r="C16" s="8" t="s">
        <v>108</v>
      </c>
      <c r="D16" s="8" t="s">
        <v>156</v>
      </c>
      <c r="E16" s="8" t="s">
        <v>149</v>
      </c>
      <c r="F16" s="8" t="s">
        <v>163</v>
      </c>
      <c r="G16" s="8" t="s">
        <v>164</v>
      </c>
      <c r="H16" s="9" t="n">
        <v>482</v>
      </c>
      <c r="I16" s="9" t="n">
        <v>749</v>
      </c>
      <c r="J16" s="9" t="n">
        <v>42.8</v>
      </c>
      <c r="K16" s="8" t="n">
        <v>1</v>
      </c>
      <c r="L16" s="9" t="n">
        <v>21</v>
      </c>
      <c r="M16" s="9" t="n">
        <v>0.7</v>
      </c>
      <c r="N16" s="8" t="s">
        <v>89</v>
      </c>
      <c r="O16" s="8" t="s">
        <v>112</v>
      </c>
      <c r="P16" s="8" t="s">
        <v>165</v>
      </c>
      <c r="Q16" s="8" t="s">
        <v>166</v>
      </c>
      <c r="R16" s="8" t="s">
        <v>68</v>
      </c>
      <c r="S16" s="10"/>
      <c r="T16" s="10" t="s">
        <v>69</v>
      </c>
      <c r="U16" s="10"/>
      <c r="V16" s="10" t="s">
        <v>70</v>
      </c>
      <c r="W16" s="8"/>
    </row>
    <row r="17" customFormat="false" ht="15" hidden="false" customHeight="false" outlineLevel="0" collapsed="false">
      <c r="A17" s="8" t="s">
        <v>167</v>
      </c>
      <c r="B17" s="8" t="s">
        <v>107</v>
      </c>
      <c r="C17" s="8" t="s">
        <v>168</v>
      </c>
      <c r="D17" s="8" t="s">
        <v>169</v>
      </c>
      <c r="E17" s="8" t="s">
        <v>86</v>
      </c>
      <c r="F17" s="8" t="s">
        <v>170</v>
      </c>
      <c r="G17" s="8" t="s">
        <v>171</v>
      </c>
      <c r="H17" s="9" t="n">
        <v>38</v>
      </c>
      <c r="I17" s="9" t="n">
        <v>268</v>
      </c>
      <c r="J17" s="9" t="n">
        <v>111</v>
      </c>
      <c r="K17" s="8"/>
      <c r="L17" s="9"/>
      <c r="M17" s="9" t="n">
        <v>0.35</v>
      </c>
      <c r="N17" s="8" t="s">
        <v>89</v>
      </c>
      <c r="O17" s="8" t="s">
        <v>172</v>
      </c>
      <c r="P17" s="8" t="s">
        <v>173</v>
      </c>
      <c r="Q17" s="8" t="s">
        <v>174</v>
      </c>
      <c r="R17" s="8" t="s">
        <v>68</v>
      </c>
      <c r="S17" s="10"/>
      <c r="T17" s="10" t="s">
        <v>69</v>
      </c>
      <c r="U17" s="10"/>
      <c r="V17" s="10" t="s">
        <v>70</v>
      </c>
      <c r="W17" s="8" t="s">
        <v>175</v>
      </c>
    </row>
    <row r="18" customFormat="false" ht="15" hidden="false" customHeight="false" outlineLevel="0" collapsed="false">
      <c r="A18" s="8" t="s">
        <v>176</v>
      </c>
      <c r="B18" s="8" t="s">
        <v>107</v>
      </c>
      <c r="C18" s="8" t="s">
        <v>177</v>
      </c>
      <c r="D18" s="8" t="s">
        <v>178</v>
      </c>
      <c r="E18" s="8" t="s">
        <v>149</v>
      </c>
      <c r="F18" s="8" t="s">
        <v>179</v>
      </c>
      <c r="G18" s="8" t="s">
        <v>180</v>
      </c>
      <c r="H18" s="9" t="n">
        <v>482</v>
      </c>
      <c r="I18" s="9" t="n">
        <v>749</v>
      </c>
      <c r="J18" s="9" t="n">
        <v>42.8</v>
      </c>
      <c r="K18" s="8" t="n">
        <v>1</v>
      </c>
      <c r="L18" s="9" t="n">
        <v>22</v>
      </c>
      <c r="M18" s="9" t="n">
        <v>0.8</v>
      </c>
      <c r="N18" s="8" t="s">
        <v>89</v>
      </c>
      <c r="O18" s="8" t="s">
        <v>112</v>
      </c>
      <c r="P18" s="8" t="s">
        <v>181</v>
      </c>
      <c r="Q18" s="8" t="s">
        <v>182</v>
      </c>
      <c r="R18" s="8" t="s">
        <v>68</v>
      </c>
      <c r="S18" s="10"/>
      <c r="T18" s="10" t="s">
        <v>69</v>
      </c>
      <c r="U18" s="10"/>
      <c r="V18" s="10" t="s">
        <v>70</v>
      </c>
      <c r="W18" s="8" t="s">
        <v>183</v>
      </c>
    </row>
    <row r="19" customFormat="false" ht="15" hidden="false" customHeight="false" outlineLevel="0" collapsed="false">
      <c r="A19" s="8" t="s">
        <v>184</v>
      </c>
      <c r="B19" s="8" t="s">
        <v>107</v>
      </c>
      <c r="C19" s="8" t="s">
        <v>185</v>
      </c>
      <c r="D19" s="8" t="s">
        <v>186</v>
      </c>
      <c r="E19" s="8" t="s">
        <v>86</v>
      </c>
      <c r="F19" s="8" t="s">
        <v>187</v>
      </c>
      <c r="G19" s="8" t="s">
        <v>188</v>
      </c>
      <c r="H19" s="9" t="n">
        <v>438</v>
      </c>
      <c r="I19" s="9" t="n">
        <v>660</v>
      </c>
      <c r="J19" s="9" t="n">
        <v>44</v>
      </c>
      <c r="K19" s="8" t="n">
        <v>1</v>
      </c>
      <c r="L19" s="9" t="n">
        <v>17</v>
      </c>
      <c r="M19" s="9" t="n">
        <v>1.7</v>
      </c>
      <c r="N19" s="8" t="s">
        <v>89</v>
      </c>
      <c r="O19" s="8" t="s">
        <v>112</v>
      </c>
      <c r="P19" s="8" t="s">
        <v>189</v>
      </c>
      <c r="Q19" s="8" t="s">
        <v>190</v>
      </c>
      <c r="R19" s="8" t="s">
        <v>68</v>
      </c>
      <c r="S19" s="10"/>
      <c r="T19" s="10" t="s">
        <v>69</v>
      </c>
      <c r="U19" s="10"/>
      <c r="V19" s="10" t="s">
        <v>70</v>
      </c>
      <c r="W19" s="8" t="s">
        <v>191</v>
      </c>
    </row>
    <row r="20" customFormat="false" ht="15" hidden="false" customHeight="false" outlineLevel="0" collapsed="false">
      <c r="A20" s="8" t="s">
        <v>192</v>
      </c>
      <c r="B20" s="8" t="s">
        <v>107</v>
      </c>
      <c r="C20" s="8" t="s">
        <v>185</v>
      </c>
      <c r="D20" s="8" t="s">
        <v>193</v>
      </c>
      <c r="E20" s="8" t="s">
        <v>86</v>
      </c>
      <c r="F20" s="8" t="s">
        <v>194</v>
      </c>
      <c r="G20" s="8" t="s">
        <v>195</v>
      </c>
      <c r="H20" s="9" t="n">
        <v>438</v>
      </c>
      <c r="I20" s="9"/>
      <c r="J20" s="9" t="n">
        <v>88</v>
      </c>
      <c r="K20" s="8" t="n">
        <v>2</v>
      </c>
      <c r="L20" s="9"/>
      <c r="M20" s="9"/>
      <c r="N20" s="8"/>
      <c r="O20" s="8" t="s">
        <v>112</v>
      </c>
      <c r="P20" s="8" t="s">
        <v>196</v>
      </c>
      <c r="Q20" s="8" t="s">
        <v>197</v>
      </c>
      <c r="R20" s="8" t="s">
        <v>68</v>
      </c>
      <c r="S20" s="10"/>
      <c r="T20" s="10" t="s">
        <v>69</v>
      </c>
      <c r="U20" s="10"/>
      <c r="V20" s="10" t="s">
        <v>70</v>
      </c>
      <c r="W20" s="8" t="s">
        <v>198</v>
      </c>
    </row>
    <row r="21" customFormat="false" ht="15" hidden="false" customHeight="false" outlineLevel="0" collapsed="false">
      <c r="A21" s="8" t="s">
        <v>199</v>
      </c>
      <c r="B21" s="8" t="s">
        <v>107</v>
      </c>
      <c r="C21" s="8" t="s">
        <v>185</v>
      </c>
      <c r="D21" s="8" t="s">
        <v>193</v>
      </c>
      <c r="E21" s="8" t="s">
        <v>86</v>
      </c>
      <c r="F21" s="8" t="s">
        <v>200</v>
      </c>
      <c r="G21" s="8" t="s">
        <v>201</v>
      </c>
      <c r="H21" s="9" t="n">
        <v>438</v>
      </c>
      <c r="I21" s="9" t="n">
        <v>550</v>
      </c>
      <c r="J21" s="9" t="n">
        <v>44</v>
      </c>
      <c r="K21" s="8" t="n">
        <v>1</v>
      </c>
      <c r="L21" s="9" t="n">
        <v>11.5</v>
      </c>
      <c r="M21" s="9" t="n">
        <v>0.45</v>
      </c>
      <c r="N21" s="8" t="s">
        <v>89</v>
      </c>
      <c r="O21" s="8" t="s">
        <v>112</v>
      </c>
      <c r="P21" s="8" t="s">
        <v>202</v>
      </c>
      <c r="Q21" s="8" t="s">
        <v>203</v>
      </c>
      <c r="R21" s="8" t="s">
        <v>68</v>
      </c>
      <c r="S21" s="10"/>
      <c r="T21" s="10" t="s">
        <v>69</v>
      </c>
      <c r="U21" s="10"/>
      <c r="V21" s="10" t="s">
        <v>70</v>
      </c>
      <c r="W21" s="8"/>
    </row>
    <row r="22" customFormat="false" ht="15" hidden="false" customHeight="false" outlineLevel="0" collapsed="false">
      <c r="A22" s="8" t="s">
        <v>204</v>
      </c>
      <c r="B22" s="8" t="s">
        <v>107</v>
      </c>
      <c r="C22" s="8" t="s">
        <v>185</v>
      </c>
      <c r="D22" s="8" t="s">
        <v>205</v>
      </c>
      <c r="E22" s="8" t="s">
        <v>206</v>
      </c>
      <c r="F22" s="8" t="s">
        <v>207</v>
      </c>
      <c r="G22" s="8" t="s">
        <v>208</v>
      </c>
      <c r="H22" s="9" t="n">
        <v>439</v>
      </c>
      <c r="I22" s="9" t="n">
        <v>441</v>
      </c>
      <c r="J22" s="9" t="n">
        <v>44</v>
      </c>
      <c r="K22" s="8" t="n">
        <v>1</v>
      </c>
      <c r="L22" s="9" t="n">
        <v>9.5</v>
      </c>
      <c r="M22" s="9" t="n">
        <v>0.19</v>
      </c>
      <c r="N22" s="8" t="s">
        <v>89</v>
      </c>
      <c r="O22" s="8" t="s">
        <v>112</v>
      </c>
      <c r="P22" s="8" t="s">
        <v>209</v>
      </c>
      <c r="Q22" s="8" t="s">
        <v>210</v>
      </c>
      <c r="R22" s="8" t="s">
        <v>68</v>
      </c>
      <c r="S22" s="10"/>
      <c r="T22" s="10" t="s">
        <v>69</v>
      </c>
      <c r="U22" s="10"/>
      <c r="V22" s="10" t="s">
        <v>70</v>
      </c>
      <c r="W22" s="8" t="s">
        <v>211</v>
      </c>
    </row>
    <row r="23" customFormat="false" ht="15" hidden="false" customHeight="false" outlineLevel="0" collapsed="false">
      <c r="A23" s="8" t="s">
        <v>212</v>
      </c>
      <c r="B23" s="8" t="s">
        <v>107</v>
      </c>
      <c r="C23" s="8" t="s">
        <v>213</v>
      </c>
      <c r="D23" s="8" t="s">
        <v>214</v>
      </c>
      <c r="E23" s="8" t="s">
        <v>62</v>
      </c>
      <c r="F23" s="8" t="s">
        <v>215</v>
      </c>
      <c r="G23" s="8" t="s">
        <v>216</v>
      </c>
      <c r="H23" s="9" t="n">
        <v>56</v>
      </c>
      <c r="I23" s="9" t="n">
        <v>76</v>
      </c>
      <c r="J23" s="9" t="n">
        <v>1829</v>
      </c>
      <c r="K23" s="8" t="s">
        <v>217</v>
      </c>
      <c r="L23" s="9" t="n">
        <v>8</v>
      </c>
      <c r="M23" s="9" t="n">
        <v>5</v>
      </c>
      <c r="N23" s="8" t="s">
        <v>218</v>
      </c>
      <c r="O23" s="8" t="s">
        <v>219</v>
      </c>
      <c r="P23" s="8" t="s">
        <v>220</v>
      </c>
      <c r="Q23" s="8" t="s">
        <v>221</v>
      </c>
      <c r="R23" s="8" t="s">
        <v>68</v>
      </c>
      <c r="S23" s="10"/>
      <c r="T23" s="10" t="s">
        <v>69</v>
      </c>
      <c r="U23" s="10"/>
      <c r="V23" s="10" t="s">
        <v>70</v>
      </c>
      <c r="W23" s="8" t="s">
        <v>222</v>
      </c>
    </row>
    <row r="24" customFormat="false" ht="15" hidden="false" customHeight="false" outlineLevel="0" collapsed="false">
      <c r="A24" s="8" t="s">
        <v>223</v>
      </c>
      <c r="B24" s="8" t="s">
        <v>107</v>
      </c>
      <c r="C24" s="8" t="s">
        <v>213</v>
      </c>
      <c r="D24" s="8" t="s">
        <v>224</v>
      </c>
      <c r="E24" s="8" t="s">
        <v>225</v>
      </c>
      <c r="F24" s="8" t="s">
        <v>226</v>
      </c>
      <c r="G24" s="8" t="s">
        <v>227</v>
      </c>
      <c r="H24" s="9" t="n">
        <v>538</v>
      </c>
      <c r="I24" s="9"/>
      <c r="J24" s="9" t="n">
        <v>44.5</v>
      </c>
      <c r="K24" s="8" t="s">
        <v>131</v>
      </c>
      <c r="L24" s="9"/>
      <c r="M24" s="9" t="n">
        <v>33</v>
      </c>
      <c r="N24" s="8" t="s">
        <v>218</v>
      </c>
      <c r="O24" s="8" t="s">
        <v>132</v>
      </c>
      <c r="P24" s="8" t="s">
        <v>228</v>
      </c>
      <c r="Q24" s="8" t="s">
        <v>229</v>
      </c>
      <c r="R24" s="8" t="s">
        <v>68</v>
      </c>
      <c r="S24" s="10"/>
      <c r="T24" s="10" t="s">
        <v>69</v>
      </c>
      <c r="U24" s="10"/>
      <c r="V24" s="10" t="s">
        <v>70</v>
      </c>
      <c r="W24" s="8" t="s">
        <v>230</v>
      </c>
    </row>
    <row r="25" customFormat="false" ht="15" hidden="false" customHeight="false" outlineLevel="0" collapsed="false">
      <c r="A25" s="8" t="s">
        <v>231</v>
      </c>
      <c r="B25" s="8" t="s">
        <v>59</v>
      </c>
      <c r="C25" s="8" t="s">
        <v>232</v>
      </c>
      <c r="D25" s="8" t="s">
        <v>233</v>
      </c>
      <c r="E25" s="8" t="s">
        <v>234</v>
      </c>
      <c r="F25" s="8" t="s">
        <v>235</v>
      </c>
      <c r="G25" s="8" t="s">
        <v>236</v>
      </c>
      <c r="H25" s="9" t="n">
        <v>442</v>
      </c>
      <c r="I25" s="9" t="n">
        <v>813</v>
      </c>
      <c r="J25" s="9" t="n">
        <v>178</v>
      </c>
      <c r="K25" s="8" t="n">
        <v>4</v>
      </c>
      <c r="L25" s="9" t="n">
        <v>68</v>
      </c>
      <c r="M25" s="9" t="n">
        <v>200</v>
      </c>
      <c r="N25" s="8" t="s">
        <v>237</v>
      </c>
      <c r="O25" s="8" t="s">
        <v>112</v>
      </c>
      <c r="P25" s="8" t="s">
        <v>238</v>
      </c>
      <c r="Q25" s="8" t="s">
        <v>239</v>
      </c>
      <c r="R25" s="8" t="s">
        <v>68</v>
      </c>
      <c r="S25" s="10"/>
      <c r="T25" s="10" t="s">
        <v>69</v>
      </c>
      <c r="U25" s="10"/>
      <c r="V25" s="10" t="s">
        <v>70</v>
      </c>
      <c r="W25" s="8" t="s">
        <v>240</v>
      </c>
    </row>
    <row r="26" customFormat="false" ht="15" hidden="false" customHeight="false" outlineLevel="0" collapsed="false">
      <c r="A26" s="8" t="s">
        <v>241</v>
      </c>
      <c r="B26" s="8" t="s">
        <v>59</v>
      </c>
      <c r="C26" s="8" t="s">
        <v>232</v>
      </c>
      <c r="D26" s="8" t="s">
        <v>242</v>
      </c>
      <c r="E26" s="8" t="s">
        <v>78</v>
      </c>
      <c r="F26" s="8" t="s">
        <v>243</v>
      </c>
      <c r="G26" s="8" t="s">
        <v>244</v>
      </c>
      <c r="H26" s="9" t="n">
        <v>750</v>
      </c>
      <c r="I26" s="9" t="n">
        <v>1200</v>
      </c>
      <c r="J26" s="9" t="n">
        <v>2000</v>
      </c>
      <c r="K26" s="8"/>
      <c r="L26" s="9" t="n">
        <v>950</v>
      </c>
      <c r="M26" s="9" t="n">
        <v>1350</v>
      </c>
      <c r="N26" s="8" t="s">
        <v>237</v>
      </c>
      <c r="O26" s="8" t="s">
        <v>65</v>
      </c>
      <c r="P26" s="8" t="s">
        <v>245</v>
      </c>
      <c r="Q26" s="8" t="s">
        <v>246</v>
      </c>
      <c r="R26" s="8" t="s">
        <v>68</v>
      </c>
      <c r="S26" s="10"/>
      <c r="T26" s="10" t="s">
        <v>69</v>
      </c>
      <c r="U26" s="10"/>
      <c r="V26" s="10" t="s">
        <v>70</v>
      </c>
      <c r="W26" s="8" t="s">
        <v>247</v>
      </c>
    </row>
    <row r="27" customFormat="false" ht="15" hidden="false" customHeight="false" outlineLevel="0" collapsed="false">
      <c r="A27" s="8" t="s">
        <v>248</v>
      </c>
      <c r="B27" s="8" t="s">
        <v>59</v>
      </c>
      <c r="C27" s="8" t="s">
        <v>232</v>
      </c>
      <c r="D27" s="8" t="s">
        <v>249</v>
      </c>
      <c r="E27" s="8" t="s">
        <v>250</v>
      </c>
      <c r="F27" s="8" t="s">
        <v>251</v>
      </c>
      <c r="G27" s="8" t="s">
        <v>252</v>
      </c>
      <c r="H27" s="9" t="n">
        <v>600</v>
      </c>
      <c r="I27" s="9" t="n">
        <v>305</v>
      </c>
      <c r="J27" s="9" t="n">
        <v>1999</v>
      </c>
      <c r="K27" s="8"/>
      <c r="L27" s="9" t="n">
        <v>150</v>
      </c>
      <c r="M27" s="9" t="n">
        <v>75</v>
      </c>
      <c r="N27" s="8" t="s">
        <v>237</v>
      </c>
      <c r="O27" s="8" t="s">
        <v>253</v>
      </c>
      <c r="P27" s="8" t="s">
        <v>254</v>
      </c>
      <c r="Q27" s="8" t="s">
        <v>255</v>
      </c>
      <c r="R27" s="8" t="s">
        <v>68</v>
      </c>
      <c r="S27" s="10"/>
      <c r="T27" s="10" t="s">
        <v>69</v>
      </c>
      <c r="U27" s="10"/>
      <c r="V27" s="10" t="s">
        <v>70</v>
      </c>
      <c r="W27" s="8" t="s">
        <v>256</v>
      </c>
    </row>
    <row r="28" customFormat="false" ht="15" hidden="false" customHeight="false" outlineLevel="0" collapsed="false">
      <c r="A28" s="8" t="s">
        <v>257</v>
      </c>
      <c r="B28" s="8" t="s">
        <v>59</v>
      </c>
      <c r="C28" s="8" t="s">
        <v>232</v>
      </c>
      <c r="D28" s="8" t="s">
        <v>258</v>
      </c>
      <c r="E28" s="8" t="s">
        <v>234</v>
      </c>
      <c r="F28" s="8" t="s">
        <v>259</v>
      </c>
      <c r="G28" s="8" t="s">
        <v>260</v>
      </c>
      <c r="H28" s="9" t="n">
        <v>600</v>
      </c>
      <c r="I28" s="9" t="n">
        <v>1200</v>
      </c>
      <c r="J28" s="9" t="n">
        <v>2265</v>
      </c>
      <c r="K28" s="8"/>
      <c r="L28" s="9" t="n">
        <v>400</v>
      </c>
      <c r="M28" s="9" t="n">
        <v>240</v>
      </c>
      <c r="N28" s="8" t="s">
        <v>237</v>
      </c>
      <c r="O28" s="8" t="s">
        <v>65</v>
      </c>
      <c r="P28" s="8" t="s">
        <v>261</v>
      </c>
      <c r="Q28" s="8" t="s">
        <v>262</v>
      </c>
      <c r="R28" s="8" t="s">
        <v>68</v>
      </c>
      <c r="S28" s="10"/>
      <c r="T28" s="10" t="s">
        <v>69</v>
      </c>
      <c r="U28" s="10"/>
      <c r="V28" s="10" t="s">
        <v>70</v>
      </c>
      <c r="W28" s="8" t="s">
        <v>263</v>
      </c>
    </row>
    <row r="29" customFormat="false" ht="15" hidden="false" customHeight="false" outlineLevel="0" collapsed="false">
      <c r="A29" s="8" t="s">
        <v>264</v>
      </c>
      <c r="B29" s="8" t="s">
        <v>59</v>
      </c>
      <c r="C29" s="8" t="s">
        <v>265</v>
      </c>
      <c r="D29" s="8" t="s">
        <v>266</v>
      </c>
      <c r="E29" s="8" t="s">
        <v>78</v>
      </c>
      <c r="F29" s="8" t="s">
        <v>267</v>
      </c>
      <c r="G29" s="8" t="s">
        <v>268</v>
      </c>
      <c r="H29" s="9" t="n">
        <v>600</v>
      </c>
      <c r="I29" s="9" t="n">
        <v>1100</v>
      </c>
      <c r="J29" s="9" t="n">
        <v>1996</v>
      </c>
      <c r="K29" s="8"/>
      <c r="L29" s="9" t="n">
        <v>390</v>
      </c>
      <c r="M29" s="9" t="n">
        <v>40</v>
      </c>
      <c r="N29" s="8" t="s">
        <v>237</v>
      </c>
      <c r="O29" s="8" t="s">
        <v>65</v>
      </c>
      <c r="P29" s="8" t="s">
        <v>269</v>
      </c>
      <c r="Q29" s="8" t="s">
        <v>270</v>
      </c>
      <c r="R29" s="8" t="s">
        <v>68</v>
      </c>
      <c r="S29" s="10"/>
      <c r="T29" s="10" t="s">
        <v>69</v>
      </c>
      <c r="U29" s="10"/>
      <c r="V29" s="10" t="s">
        <v>70</v>
      </c>
      <c r="W29" s="8" t="s">
        <v>271</v>
      </c>
    </row>
    <row r="30" customFormat="false" ht="15" hidden="false" customHeight="false" outlineLevel="0" collapsed="false">
      <c r="A30" s="8" t="s">
        <v>272</v>
      </c>
      <c r="B30" s="8" t="s">
        <v>59</v>
      </c>
      <c r="C30" s="8" t="s">
        <v>265</v>
      </c>
      <c r="D30" s="8" t="s">
        <v>273</v>
      </c>
      <c r="E30" s="8" t="s">
        <v>78</v>
      </c>
      <c r="F30" s="8" t="s">
        <v>274</v>
      </c>
      <c r="G30" s="8" t="s">
        <v>275</v>
      </c>
      <c r="H30" s="9" t="n">
        <v>2921</v>
      </c>
      <c r="I30" s="9" t="n">
        <v>889</v>
      </c>
      <c r="J30" s="9" t="n">
        <v>1969</v>
      </c>
      <c r="K30" s="8"/>
      <c r="L30" s="9" t="n">
        <v>1250</v>
      </c>
      <c r="M30" s="9" t="n">
        <v>146</v>
      </c>
      <c r="N30" s="8" t="s">
        <v>237</v>
      </c>
      <c r="O30" s="8" t="s">
        <v>65</v>
      </c>
      <c r="P30" s="8" t="s">
        <v>276</v>
      </c>
      <c r="Q30" s="8" t="s">
        <v>277</v>
      </c>
      <c r="R30" s="8" t="s">
        <v>68</v>
      </c>
      <c r="S30" s="10"/>
      <c r="T30" s="10" t="s">
        <v>69</v>
      </c>
      <c r="U30" s="10"/>
      <c r="V30" s="10" t="s">
        <v>70</v>
      </c>
      <c r="W30" s="8" t="s">
        <v>278</v>
      </c>
    </row>
    <row r="31" customFormat="false" ht="15" hidden="false" customHeight="false" outlineLevel="0" collapsed="false">
      <c r="A31" s="8" t="s">
        <v>279</v>
      </c>
      <c r="B31" s="8" t="s">
        <v>59</v>
      </c>
      <c r="C31" s="8" t="s">
        <v>280</v>
      </c>
      <c r="D31" s="8" t="s">
        <v>281</v>
      </c>
      <c r="E31" s="8" t="s">
        <v>282</v>
      </c>
      <c r="F31" s="8" t="s">
        <v>283</v>
      </c>
      <c r="G31" s="8" t="s">
        <v>284</v>
      </c>
      <c r="H31" s="9" t="n">
        <v>146</v>
      </c>
      <c r="I31" s="9" t="n">
        <v>1000</v>
      </c>
      <c r="J31" s="9" t="n">
        <v>171</v>
      </c>
      <c r="K31" s="8"/>
      <c r="L31" s="9" t="n">
        <v>16</v>
      </c>
      <c r="M31" s="9" t="n">
        <v>554</v>
      </c>
      <c r="N31" s="8" t="s">
        <v>218</v>
      </c>
      <c r="O31" s="8" t="s">
        <v>285</v>
      </c>
      <c r="P31" s="8" t="s">
        <v>286</v>
      </c>
      <c r="Q31" s="8" t="s">
        <v>287</v>
      </c>
      <c r="R31" s="8" t="s">
        <v>68</v>
      </c>
      <c r="S31" s="10"/>
      <c r="T31" s="10" t="s">
        <v>69</v>
      </c>
      <c r="U31" s="10"/>
      <c r="V31" s="10" t="s">
        <v>70</v>
      </c>
      <c r="W31" s="8" t="s">
        <v>288</v>
      </c>
    </row>
    <row r="32" customFormat="false" ht="15" hidden="false" customHeight="false" outlineLevel="0" collapsed="false">
      <c r="A32" s="8" t="s">
        <v>289</v>
      </c>
      <c r="B32" s="8" t="s">
        <v>59</v>
      </c>
      <c r="C32" s="8" t="s">
        <v>280</v>
      </c>
      <c r="D32" s="8" t="s">
        <v>290</v>
      </c>
      <c r="E32" s="8" t="s">
        <v>78</v>
      </c>
      <c r="F32" s="8" t="s">
        <v>291</v>
      </c>
      <c r="G32" s="8" t="s">
        <v>292</v>
      </c>
      <c r="H32" s="9" t="n">
        <v>1372</v>
      </c>
      <c r="I32" s="9" t="n">
        <v>914</v>
      </c>
      <c r="J32" s="9" t="n">
        <v>1930</v>
      </c>
      <c r="K32" s="8"/>
      <c r="L32" s="9" t="n">
        <v>1590</v>
      </c>
      <c r="M32" s="9" t="n">
        <v>225</v>
      </c>
      <c r="N32" s="8" t="s">
        <v>218</v>
      </c>
      <c r="O32" s="8" t="s">
        <v>65</v>
      </c>
      <c r="P32" s="8" t="s">
        <v>293</v>
      </c>
      <c r="Q32" s="8" t="s">
        <v>294</v>
      </c>
      <c r="R32" s="8" t="s">
        <v>68</v>
      </c>
      <c r="S32" s="10"/>
      <c r="T32" s="10" t="s">
        <v>69</v>
      </c>
      <c r="U32" s="10"/>
      <c r="V32" s="10" t="s">
        <v>70</v>
      </c>
      <c r="W32" s="8" t="s">
        <v>295</v>
      </c>
    </row>
    <row r="33" customFormat="false" ht="15" hidden="false" customHeight="false" outlineLevel="0" collapsed="false">
      <c r="A33" s="8" t="s">
        <v>296</v>
      </c>
      <c r="B33" s="8" t="s">
        <v>59</v>
      </c>
      <c r="C33" s="8" t="s">
        <v>280</v>
      </c>
      <c r="D33" s="8" t="s">
        <v>297</v>
      </c>
      <c r="E33" s="8" t="s">
        <v>298</v>
      </c>
      <c r="F33" s="8" t="s">
        <v>299</v>
      </c>
      <c r="G33" s="8" t="s">
        <v>300</v>
      </c>
      <c r="H33" s="9" t="n">
        <v>610</v>
      </c>
      <c r="I33" s="9" t="n">
        <v>305</v>
      </c>
      <c r="J33" s="9" t="n">
        <v>2134</v>
      </c>
      <c r="K33" s="8"/>
      <c r="L33" s="9" t="n">
        <v>270</v>
      </c>
      <c r="M33" s="9"/>
      <c r="N33" s="8"/>
      <c r="O33" s="8" t="s">
        <v>65</v>
      </c>
      <c r="P33" s="8" t="s">
        <v>301</v>
      </c>
      <c r="Q33" s="8" t="s">
        <v>302</v>
      </c>
      <c r="R33" s="8" t="s">
        <v>68</v>
      </c>
      <c r="S33" s="10"/>
      <c r="T33" s="10" t="s">
        <v>69</v>
      </c>
      <c r="U33" s="10"/>
      <c r="V33" s="10" t="s">
        <v>70</v>
      </c>
      <c r="W33" s="8" t="s">
        <v>303</v>
      </c>
    </row>
    <row r="34" customFormat="false" ht="15" hidden="false" customHeight="false" outlineLevel="0" collapsed="false">
      <c r="A34" s="8" t="s">
        <v>304</v>
      </c>
      <c r="B34" s="8" t="s">
        <v>59</v>
      </c>
      <c r="C34" s="8" t="s">
        <v>305</v>
      </c>
      <c r="D34" s="8" t="s">
        <v>306</v>
      </c>
      <c r="E34" s="8" t="s">
        <v>307</v>
      </c>
      <c r="F34" s="8" t="s">
        <v>308</v>
      </c>
      <c r="G34" s="8" t="s">
        <v>309</v>
      </c>
      <c r="H34" s="9" t="n">
        <v>609.6</v>
      </c>
      <c r="I34" s="9" t="n">
        <v>609.6</v>
      </c>
      <c r="J34" s="9" t="n">
        <v>28.6</v>
      </c>
      <c r="K34" s="8"/>
      <c r="L34" s="9" t="n">
        <v>18</v>
      </c>
      <c r="M34" s="9"/>
      <c r="N34" s="8"/>
      <c r="O34" s="8" t="s">
        <v>310</v>
      </c>
      <c r="P34" s="8" t="s">
        <v>311</v>
      </c>
      <c r="Q34" s="8" t="s">
        <v>312</v>
      </c>
      <c r="R34" s="8" t="s">
        <v>68</v>
      </c>
      <c r="S34" s="10"/>
      <c r="T34" s="10" t="s">
        <v>69</v>
      </c>
      <c r="U34" s="10"/>
      <c r="V34" s="10" t="s">
        <v>70</v>
      </c>
      <c r="W34" s="8" t="s">
        <v>313</v>
      </c>
    </row>
    <row r="35" customFormat="false" ht="15" hidden="false" customHeight="false" outlineLevel="0" collapsed="false">
      <c r="A35" s="8" t="s">
        <v>314</v>
      </c>
      <c r="B35" s="8" t="s">
        <v>59</v>
      </c>
      <c r="C35" s="8" t="s">
        <v>315</v>
      </c>
      <c r="D35" s="8" t="s">
        <v>316</v>
      </c>
      <c r="E35" s="8" t="s">
        <v>317</v>
      </c>
      <c r="F35" s="8" t="s">
        <v>318</v>
      </c>
      <c r="G35" s="8" t="s">
        <v>319</v>
      </c>
      <c r="H35" s="9" t="n">
        <v>300</v>
      </c>
      <c r="I35" s="9" t="n">
        <v>1000</v>
      </c>
      <c r="J35" s="9" t="n">
        <v>54</v>
      </c>
      <c r="K35" s="8"/>
      <c r="L35" s="9" t="n">
        <v>1.4</v>
      </c>
      <c r="M35" s="9"/>
      <c r="N35" s="8"/>
      <c r="O35" s="8" t="s">
        <v>285</v>
      </c>
      <c r="P35" s="8" t="s">
        <v>320</v>
      </c>
      <c r="Q35" s="8" t="s">
        <v>321</v>
      </c>
      <c r="R35" s="8" t="s">
        <v>68</v>
      </c>
      <c r="S35" s="10"/>
      <c r="T35" s="10" t="s">
        <v>69</v>
      </c>
      <c r="U35" s="10"/>
      <c r="V35" s="10" t="s">
        <v>70</v>
      </c>
      <c r="W35" s="8" t="s">
        <v>322</v>
      </c>
    </row>
    <row r="36" customFormat="false" ht="15" hidden="false" customHeight="false" outlineLevel="0" collapsed="false">
      <c r="A36" s="8" t="s">
        <v>323</v>
      </c>
      <c r="B36" s="8" t="s">
        <v>59</v>
      </c>
      <c r="C36" s="8" t="s">
        <v>315</v>
      </c>
      <c r="D36" s="8" t="s">
        <v>324</v>
      </c>
      <c r="E36" s="8" t="s">
        <v>325</v>
      </c>
      <c r="F36" s="8" t="s">
        <v>326</v>
      </c>
      <c r="G36" s="8" t="s">
        <v>327</v>
      </c>
      <c r="H36" s="9" t="n">
        <v>101.6</v>
      </c>
      <c r="I36" s="9" t="n">
        <v>1829</v>
      </c>
      <c r="J36" s="9" t="n">
        <v>101.6</v>
      </c>
      <c r="K36" s="8"/>
      <c r="L36" s="9"/>
      <c r="M36" s="9"/>
      <c r="N36" s="8"/>
      <c r="O36" s="8" t="s">
        <v>285</v>
      </c>
      <c r="P36" s="8" t="s">
        <v>328</v>
      </c>
      <c r="Q36" s="8" t="s">
        <v>329</v>
      </c>
      <c r="R36" s="8" t="s">
        <v>68</v>
      </c>
      <c r="S36" s="10"/>
      <c r="T36" s="10" t="s">
        <v>69</v>
      </c>
      <c r="U36" s="10"/>
      <c r="V36" s="10" t="s">
        <v>70</v>
      </c>
      <c r="W36" s="8" t="s">
        <v>330</v>
      </c>
    </row>
    <row r="37" customFormat="false" ht="15" hidden="false" customHeight="false" outlineLevel="0" collapsed="false">
      <c r="A37" s="8" t="s">
        <v>331</v>
      </c>
      <c r="B37" s="8" t="s">
        <v>59</v>
      </c>
      <c r="C37" s="8" t="s">
        <v>315</v>
      </c>
      <c r="D37" s="8" t="s">
        <v>324</v>
      </c>
      <c r="E37" s="8" t="s">
        <v>325</v>
      </c>
      <c r="F37" s="8" t="s">
        <v>332</v>
      </c>
      <c r="G37" s="8" t="s">
        <v>333</v>
      </c>
      <c r="H37" s="9" t="n">
        <v>304.8</v>
      </c>
      <c r="I37" s="9" t="n">
        <v>1829</v>
      </c>
      <c r="J37" s="9" t="n">
        <v>114.3</v>
      </c>
      <c r="K37" s="8"/>
      <c r="L37" s="9"/>
      <c r="M37" s="9"/>
      <c r="N37" s="8"/>
      <c r="O37" s="8" t="s">
        <v>285</v>
      </c>
      <c r="P37" s="8" t="s">
        <v>334</v>
      </c>
      <c r="Q37" s="8" t="s">
        <v>329</v>
      </c>
      <c r="R37" s="8" t="s">
        <v>68</v>
      </c>
      <c r="S37" s="10"/>
      <c r="T37" s="10" t="s">
        <v>69</v>
      </c>
      <c r="U37" s="10"/>
      <c r="V37" s="10" t="s">
        <v>70</v>
      </c>
      <c r="W37" s="8" t="s">
        <v>335</v>
      </c>
    </row>
    <row r="38" customFormat="false" ht="15" hidden="false" customHeight="false" outlineLevel="0" collapsed="false">
      <c r="A38" s="8" t="s">
        <v>336</v>
      </c>
      <c r="B38" s="8" t="s">
        <v>59</v>
      </c>
      <c r="C38" s="8" t="s">
        <v>315</v>
      </c>
      <c r="D38" s="8" t="s">
        <v>337</v>
      </c>
      <c r="E38" s="8" t="s">
        <v>338</v>
      </c>
      <c r="F38" s="8" t="s">
        <v>339</v>
      </c>
      <c r="G38" s="8" t="s">
        <v>340</v>
      </c>
      <c r="H38" s="9" t="n">
        <v>305</v>
      </c>
      <c r="I38" s="9" t="n">
        <v>3048</v>
      </c>
      <c r="J38" s="9" t="n">
        <v>38</v>
      </c>
      <c r="K38" s="8"/>
      <c r="L38" s="9" t="n">
        <v>12.5</v>
      </c>
      <c r="M38" s="9"/>
      <c r="N38" s="8"/>
      <c r="O38" s="8" t="s">
        <v>285</v>
      </c>
      <c r="P38" s="8" t="s">
        <v>341</v>
      </c>
      <c r="Q38" s="8" t="s">
        <v>342</v>
      </c>
      <c r="R38" s="8" t="s">
        <v>68</v>
      </c>
      <c r="S38" s="10"/>
      <c r="T38" s="10" t="s">
        <v>69</v>
      </c>
      <c r="U38" s="10"/>
      <c r="V38" s="10" t="s">
        <v>70</v>
      </c>
      <c r="W38" s="8" t="s">
        <v>343</v>
      </c>
    </row>
    <row r="39" customFormat="false" ht="15" hidden="false" customHeight="false" outlineLevel="0" collapsed="false">
      <c r="A39" s="8" t="s">
        <v>344</v>
      </c>
      <c r="B39" s="8" t="s">
        <v>59</v>
      </c>
      <c r="C39" s="8" t="s">
        <v>315</v>
      </c>
      <c r="D39" s="8" t="s">
        <v>337</v>
      </c>
      <c r="E39" s="8" t="s">
        <v>338</v>
      </c>
      <c r="F39" s="8" t="s">
        <v>345</v>
      </c>
      <c r="G39" s="8" t="s">
        <v>340</v>
      </c>
      <c r="H39" s="9" t="n">
        <v>457</v>
      </c>
      <c r="I39" s="9" t="n">
        <v>3048</v>
      </c>
      <c r="J39" s="9" t="n">
        <v>38</v>
      </c>
      <c r="K39" s="8"/>
      <c r="L39" s="9" t="n">
        <v>15</v>
      </c>
      <c r="M39" s="9"/>
      <c r="N39" s="8"/>
      <c r="O39" s="8" t="s">
        <v>285</v>
      </c>
      <c r="P39" s="8" t="s">
        <v>341</v>
      </c>
      <c r="Q39" s="8" t="s">
        <v>342</v>
      </c>
      <c r="R39" s="8" t="s">
        <v>68</v>
      </c>
      <c r="S39" s="10"/>
      <c r="T39" s="10" t="s">
        <v>69</v>
      </c>
      <c r="U39" s="10"/>
      <c r="V39" s="10" t="s">
        <v>70</v>
      </c>
      <c r="W39" s="8" t="s">
        <v>346</v>
      </c>
    </row>
    <row r="40" customFormat="false" ht="15" hidden="false" customHeight="false" outlineLevel="0" collapsed="false">
      <c r="A40" s="8" t="s">
        <v>347</v>
      </c>
      <c r="B40" s="8" t="s">
        <v>59</v>
      </c>
      <c r="C40" s="8" t="s">
        <v>348</v>
      </c>
      <c r="D40" s="8" t="s">
        <v>349</v>
      </c>
      <c r="E40" s="8" t="s">
        <v>338</v>
      </c>
      <c r="F40" s="8" t="s">
        <v>350</v>
      </c>
      <c r="G40" s="8" t="s">
        <v>351</v>
      </c>
      <c r="H40" s="9" t="n">
        <v>1219</v>
      </c>
      <c r="I40" s="9" t="n">
        <v>100</v>
      </c>
      <c r="J40" s="9" t="n">
        <v>2438</v>
      </c>
      <c r="K40" s="8"/>
      <c r="L40" s="9"/>
      <c r="M40" s="9"/>
      <c r="N40" s="8"/>
      <c r="O40" s="8" t="s">
        <v>65</v>
      </c>
      <c r="P40" s="8" t="s">
        <v>352</v>
      </c>
      <c r="Q40" s="8" t="s">
        <v>353</v>
      </c>
      <c r="R40" s="8" t="s">
        <v>68</v>
      </c>
      <c r="S40" s="10"/>
      <c r="T40" s="10" t="s">
        <v>69</v>
      </c>
      <c r="U40" s="10"/>
      <c r="V40" s="10" t="s">
        <v>70</v>
      </c>
      <c r="W40" s="8" t="s">
        <v>354</v>
      </c>
    </row>
    <row r="41" customFormat="false" ht="15" hidden="false" customHeight="false" outlineLevel="0" collapsed="false">
      <c r="A41" s="8" t="s">
        <v>355</v>
      </c>
      <c r="B41" s="8" t="s">
        <v>356</v>
      </c>
      <c r="C41" s="8" t="s">
        <v>357</v>
      </c>
      <c r="D41" s="8" t="s">
        <v>358</v>
      </c>
      <c r="E41" s="8" t="s">
        <v>78</v>
      </c>
      <c r="F41" s="8" t="s">
        <v>359</v>
      </c>
      <c r="G41" s="8" t="s">
        <v>360</v>
      </c>
      <c r="H41" s="9" t="n">
        <v>3300</v>
      </c>
      <c r="I41" s="9" t="n">
        <v>991</v>
      </c>
      <c r="J41" s="9" t="n">
        <v>2134</v>
      </c>
      <c r="K41" s="8"/>
      <c r="L41" s="9" t="n">
        <v>4990</v>
      </c>
      <c r="M41" s="9" t="n">
        <v>1200</v>
      </c>
      <c r="N41" s="8" t="s">
        <v>218</v>
      </c>
      <c r="O41" s="8" t="s">
        <v>65</v>
      </c>
      <c r="P41" s="8" t="s">
        <v>361</v>
      </c>
      <c r="Q41" s="8" t="s">
        <v>362</v>
      </c>
      <c r="R41" s="8" t="s">
        <v>68</v>
      </c>
      <c r="S41" s="10"/>
      <c r="T41" s="10" t="s">
        <v>69</v>
      </c>
      <c r="U41" s="10"/>
      <c r="V41" s="10" t="s">
        <v>70</v>
      </c>
      <c r="W41" s="8" t="s">
        <v>363</v>
      </c>
    </row>
    <row r="42" customFormat="false" ht="15" hidden="false" customHeight="false" outlineLevel="0" collapsed="false">
      <c r="A42" s="8" t="s">
        <v>364</v>
      </c>
      <c r="B42" s="8" t="s">
        <v>356</v>
      </c>
      <c r="C42" s="8" t="s">
        <v>357</v>
      </c>
      <c r="D42" s="8" t="s">
        <v>358</v>
      </c>
      <c r="E42" s="8" t="s">
        <v>365</v>
      </c>
      <c r="F42" s="8" t="s">
        <v>366</v>
      </c>
      <c r="G42" s="8" t="s">
        <v>367</v>
      </c>
      <c r="H42" s="9" t="n">
        <v>5600</v>
      </c>
      <c r="I42" s="9" t="n">
        <v>970</v>
      </c>
      <c r="J42" s="9" t="n">
        <v>1970</v>
      </c>
      <c r="K42" s="8"/>
      <c r="L42" s="9" t="n">
        <v>5500</v>
      </c>
      <c r="M42" s="9" t="n">
        <v>1500</v>
      </c>
      <c r="N42" s="8" t="s">
        <v>218</v>
      </c>
      <c r="O42" s="8" t="s">
        <v>65</v>
      </c>
      <c r="P42" s="8" t="s">
        <v>361</v>
      </c>
      <c r="Q42" s="8" t="s">
        <v>368</v>
      </c>
      <c r="R42" s="8" t="s">
        <v>68</v>
      </c>
      <c r="S42" s="10"/>
      <c r="T42" s="10" t="s">
        <v>69</v>
      </c>
      <c r="U42" s="10"/>
      <c r="V42" s="10" t="s">
        <v>70</v>
      </c>
      <c r="W42" s="8" t="s">
        <v>369</v>
      </c>
    </row>
    <row r="43" customFormat="false" ht="15" hidden="false" customHeight="false" outlineLevel="0" collapsed="false">
      <c r="A43" s="8" t="s">
        <v>370</v>
      </c>
      <c r="B43" s="8" t="s">
        <v>356</v>
      </c>
      <c r="C43" s="8" t="s">
        <v>357</v>
      </c>
      <c r="D43" s="8" t="s">
        <v>371</v>
      </c>
      <c r="E43" s="8" t="s">
        <v>78</v>
      </c>
      <c r="F43" s="8" t="s">
        <v>372</v>
      </c>
      <c r="G43" s="8" t="s">
        <v>373</v>
      </c>
      <c r="H43" s="9" t="n">
        <v>1200</v>
      </c>
      <c r="I43" s="9" t="n">
        <v>900</v>
      </c>
      <c r="J43" s="9" t="n">
        <v>2000</v>
      </c>
      <c r="K43" s="8"/>
      <c r="L43" s="9" t="n">
        <v>1600</v>
      </c>
      <c r="M43" s="9" t="n">
        <v>600</v>
      </c>
      <c r="N43" s="8" t="s">
        <v>218</v>
      </c>
      <c r="O43" s="8" t="s">
        <v>65</v>
      </c>
      <c r="P43" s="8" t="s">
        <v>374</v>
      </c>
      <c r="Q43" s="8" t="s">
        <v>375</v>
      </c>
      <c r="R43" s="8" t="s">
        <v>68</v>
      </c>
      <c r="S43" s="10"/>
      <c r="T43" s="10" t="s">
        <v>69</v>
      </c>
      <c r="U43" s="10"/>
      <c r="V43" s="10" t="s">
        <v>70</v>
      </c>
      <c r="W43" s="8" t="s">
        <v>376</v>
      </c>
    </row>
    <row r="44" customFormat="false" ht="15" hidden="false" customHeight="false" outlineLevel="0" collapsed="false">
      <c r="A44" s="8" t="s">
        <v>377</v>
      </c>
      <c r="B44" s="8" t="s">
        <v>356</v>
      </c>
      <c r="C44" s="8" t="s">
        <v>357</v>
      </c>
      <c r="D44" s="8" t="s">
        <v>371</v>
      </c>
      <c r="E44" s="8" t="s">
        <v>298</v>
      </c>
      <c r="F44" s="8" t="s">
        <v>378</v>
      </c>
      <c r="G44" s="8" t="s">
        <v>379</v>
      </c>
      <c r="H44" s="9" t="n">
        <v>862</v>
      </c>
      <c r="I44" s="9" t="n">
        <v>926</v>
      </c>
      <c r="J44" s="9" t="n">
        <v>1876</v>
      </c>
      <c r="K44" s="8"/>
      <c r="L44" s="9" t="n">
        <v>820</v>
      </c>
      <c r="M44" s="9" t="n">
        <v>200</v>
      </c>
      <c r="N44" s="8" t="s">
        <v>218</v>
      </c>
      <c r="O44" s="8" t="s">
        <v>65</v>
      </c>
      <c r="P44" s="8" t="s">
        <v>374</v>
      </c>
      <c r="Q44" s="8" t="s">
        <v>380</v>
      </c>
      <c r="R44" s="8" t="s">
        <v>68</v>
      </c>
      <c r="S44" s="10"/>
      <c r="T44" s="10" t="s">
        <v>69</v>
      </c>
      <c r="U44" s="10"/>
      <c r="V44" s="10" t="s">
        <v>70</v>
      </c>
      <c r="W44" s="8" t="s">
        <v>381</v>
      </c>
    </row>
    <row r="45" customFormat="false" ht="15" hidden="false" customHeight="false" outlineLevel="0" collapsed="false">
      <c r="A45" s="8" t="s">
        <v>382</v>
      </c>
      <c r="B45" s="8" t="s">
        <v>356</v>
      </c>
      <c r="C45" s="8" t="s">
        <v>357</v>
      </c>
      <c r="D45" s="8" t="s">
        <v>383</v>
      </c>
      <c r="E45" s="8" t="s">
        <v>78</v>
      </c>
      <c r="F45" s="8" t="s">
        <v>384</v>
      </c>
      <c r="G45" s="8" t="s">
        <v>385</v>
      </c>
      <c r="H45" s="9" t="n">
        <v>700</v>
      </c>
      <c r="I45" s="9" t="n">
        <v>855</v>
      </c>
      <c r="J45" s="9" t="n">
        <v>2065</v>
      </c>
      <c r="K45" s="8"/>
      <c r="L45" s="9" t="n">
        <v>1230</v>
      </c>
      <c r="M45" s="9"/>
      <c r="N45" s="8"/>
      <c r="O45" s="8" t="s">
        <v>65</v>
      </c>
      <c r="P45" s="8" t="s">
        <v>386</v>
      </c>
      <c r="Q45" s="8" t="s">
        <v>387</v>
      </c>
      <c r="R45" s="8" t="s">
        <v>68</v>
      </c>
      <c r="S45" s="10"/>
      <c r="T45" s="10" t="s">
        <v>69</v>
      </c>
      <c r="U45" s="10"/>
      <c r="V45" s="10" t="s">
        <v>70</v>
      </c>
      <c r="W45" s="8" t="s">
        <v>388</v>
      </c>
    </row>
    <row r="46" customFormat="false" ht="15" hidden="false" customHeight="false" outlineLevel="0" collapsed="false">
      <c r="A46" s="8" t="s">
        <v>389</v>
      </c>
      <c r="B46" s="8" t="s">
        <v>356</v>
      </c>
      <c r="C46" s="8" t="s">
        <v>357</v>
      </c>
      <c r="D46" s="8" t="s">
        <v>390</v>
      </c>
      <c r="E46" s="8" t="s">
        <v>298</v>
      </c>
      <c r="F46" s="8" t="s">
        <v>391</v>
      </c>
      <c r="G46" s="8" t="s">
        <v>392</v>
      </c>
      <c r="H46" s="9" t="n">
        <v>813</v>
      </c>
      <c r="I46" s="9" t="n">
        <v>1524</v>
      </c>
      <c r="J46" s="9" t="n">
        <v>2286</v>
      </c>
      <c r="K46" s="8"/>
      <c r="L46" s="9" t="n">
        <v>1360</v>
      </c>
      <c r="M46" s="9"/>
      <c r="N46" s="8"/>
      <c r="O46" s="8" t="s">
        <v>65</v>
      </c>
      <c r="P46" s="8" t="s">
        <v>393</v>
      </c>
      <c r="Q46" s="8" t="s">
        <v>394</v>
      </c>
      <c r="R46" s="8" t="s">
        <v>68</v>
      </c>
      <c r="S46" s="10"/>
      <c r="T46" s="10" t="s">
        <v>69</v>
      </c>
      <c r="U46" s="10"/>
      <c r="V46" s="10" t="s">
        <v>70</v>
      </c>
      <c r="W46" s="8" t="s">
        <v>395</v>
      </c>
    </row>
    <row r="47" customFormat="false" ht="15" hidden="false" customHeight="false" outlineLevel="0" collapsed="false">
      <c r="A47" s="8" t="s">
        <v>396</v>
      </c>
      <c r="B47" s="8" t="s">
        <v>356</v>
      </c>
      <c r="C47" s="8" t="s">
        <v>357</v>
      </c>
      <c r="D47" s="8" t="s">
        <v>397</v>
      </c>
      <c r="E47" s="8" t="s">
        <v>298</v>
      </c>
      <c r="F47" s="8" t="s">
        <v>398</v>
      </c>
      <c r="G47" s="8" t="s">
        <v>399</v>
      </c>
      <c r="H47" s="9" t="n">
        <v>914</v>
      </c>
      <c r="I47" s="9" t="n">
        <v>2388</v>
      </c>
      <c r="J47" s="9" t="n">
        <v>2413</v>
      </c>
      <c r="K47" s="8"/>
      <c r="L47" s="9" t="n">
        <v>2720</v>
      </c>
      <c r="M47" s="9"/>
      <c r="N47" s="8"/>
      <c r="O47" s="8" t="s">
        <v>65</v>
      </c>
      <c r="P47" s="8" t="s">
        <v>393</v>
      </c>
      <c r="Q47" s="8" t="s">
        <v>400</v>
      </c>
      <c r="R47" s="8" t="s">
        <v>68</v>
      </c>
      <c r="S47" s="10"/>
      <c r="T47" s="10" t="s">
        <v>69</v>
      </c>
      <c r="U47" s="10"/>
      <c r="V47" s="10" t="s">
        <v>70</v>
      </c>
      <c r="W47" s="8" t="s">
        <v>401</v>
      </c>
    </row>
    <row r="48" customFormat="false" ht="15" hidden="false" customHeight="false" outlineLevel="0" collapsed="false">
      <c r="A48" s="8" t="s">
        <v>402</v>
      </c>
      <c r="B48" s="8" t="s">
        <v>356</v>
      </c>
      <c r="C48" s="8" t="s">
        <v>357</v>
      </c>
      <c r="D48" s="8" t="s">
        <v>403</v>
      </c>
      <c r="E48" s="8" t="s">
        <v>404</v>
      </c>
      <c r="F48" s="8" t="s">
        <v>405</v>
      </c>
      <c r="G48" s="8" t="s">
        <v>406</v>
      </c>
      <c r="H48" s="9" t="n">
        <v>2500</v>
      </c>
      <c r="I48" s="9" t="n">
        <v>1500</v>
      </c>
      <c r="J48" s="9" t="n">
        <v>2450</v>
      </c>
      <c r="K48" s="8"/>
      <c r="L48" s="9" t="n">
        <v>6300</v>
      </c>
      <c r="M48" s="9" t="n">
        <v>2500</v>
      </c>
      <c r="N48" s="8" t="s">
        <v>218</v>
      </c>
      <c r="O48" s="8" t="s">
        <v>407</v>
      </c>
      <c r="P48" s="8" t="s">
        <v>408</v>
      </c>
      <c r="Q48" s="8" t="s">
        <v>409</v>
      </c>
      <c r="R48" s="8" t="s">
        <v>68</v>
      </c>
      <c r="S48" s="10"/>
      <c r="T48" s="10" t="s">
        <v>69</v>
      </c>
      <c r="U48" s="10"/>
      <c r="V48" s="10" t="s">
        <v>70</v>
      </c>
      <c r="W48" s="8" t="s">
        <v>410</v>
      </c>
    </row>
    <row r="49" customFormat="false" ht="15" hidden="false" customHeight="false" outlineLevel="0" collapsed="false">
      <c r="A49" s="8" t="s">
        <v>411</v>
      </c>
      <c r="B49" s="8" t="s">
        <v>356</v>
      </c>
      <c r="C49" s="8" t="s">
        <v>357</v>
      </c>
      <c r="D49" s="8" t="s">
        <v>412</v>
      </c>
      <c r="E49" s="8" t="s">
        <v>78</v>
      </c>
      <c r="F49" s="8" t="s">
        <v>413</v>
      </c>
      <c r="G49" s="8" t="s">
        <v>414</v>
      </c>
      <c r="H49" s="9" t="n">
        <v>1638</v>
      </c>
      <c r="I49" s="9" t="n">
        <v>840</v>
      </c>
      <c r="J49" s="9" t="n">
        <v>1981</v>
      </c>
      <c r="K49" s="8"/>
      <c r="L49" s="9" t="n">
        <v>1090</v>
      </c>
      <c r="M49" s="9"/>
      <c r="N49" s="8"/>
      <c r="O49" s="8" t="s">
        <v>65</v>
      </c>
      <c r="P49" s="8" t="s">
        <v>415</v>
      </c>
      <c r="Q49" s="8" t="s">
        <v>416</v>
      </c>
      <c r="R49" s="8" t="s">
        <v>68</v>
      </c>
      <c r="S49" s="10"/>
      <c r="T49" s="10" t="s">
        <v>69</v>
      </c>
      <c r="U49" s="10"/>
      <c r="V49" s="10" t="s">
        <v>70</v>
      </c>
      <c r="W49" s="8" t="s">
        <v>417</v>
      </c>
    </row>
    <row r="50" customFormat="false" ht="15" hidden="false" customHeight="false" outlineLevel="0" collapsed="false">
      <c r="A50" s="8" t="s">
        <v>418</v>
      </c>
      <c r="B50" s="8" t="s">
        <v>356</v>
      </c>
      <c r="C50" s="8" t="s">
        <v>357</v>
      </c>
      <c r="D50" s="8" t="s">
        <v>419</v>
      </c>
      <c r="E50" s="8" t="s">
        <v>420</v>
      </c>
      <c r="F50" s="8" t="s">
        <v>421</v>
      </c>
      <c r="G50" s="8" t="s">
        <v>422</v>
      </c>
      <c r="H50" s="9" t="n">
        <v>1969</v>
      </c>
      <c r="I50" s="9" t="n">
        <v>1219</v>
      </c>
      <c r="J50" s="9" t="n">
        <v>2286</v>
      </c>
      <c r="K50" s="8"/>
      <c r="L50" s="9" t="n">
        <v>1500</v>
      </c>
      <c r="M50" s="9"/>
      <c r="N50" s="8"/>
      <c r="O50" s="8" t="s">
        <v>65</v>
      </c>
      <c r="P50" s="8" t="s">
        <v>423</v>
      </c>
      <c r="Q50" s="8" t="s">
        <v>424</v>
      </c>
      <c r="R50" s="8" t="s">
        <v>68</v>
      </c>
      <c r="S50" s="10"/>
      <c r="T50" s="10" t="s">
        <v>69</v>
      </c>
      <c r="U50" s="10"/>
      <c r="V50" s="10" t="s">
        <v>70</v>
      </c>
      <c r="W50" s="8" t="s">
        <v>425</v>
      </c>
    </row>
    <row r="51" customFormat="false" ht="15" hidden="false" customHeight="false" outlineLevel="0" collapsed="false">
      <c r="A51" s="8" t="s">
        <v>426</v>
      </c>
      <c r="B51" s="8" t="s">
        <v>427</v>
      </c>
      <c r="C51" s="8" t="s">
        <v>428</v>
      </c>
      <c r="D51" s="8" t="s">
        <v>429</v>
      </c>
      <c r="E51" s="8" t="s">
        <v>430</v>
      </c>
      <c r="F51" s="8" t="s">
        <v>431</v>
      </c>
      <c r="G51" s="8" t="s">
        <v>432</v>
      </c>
      <c r="H51" s="9" t="n">
        <v>6100</v>
      </c>
      <c r="I51" s="9" t="n">
        <v>2170</v>
      </c>
      <c r="J51" s="9" t="n">
        <v>2620</v>
      </c>
      <c r="K51" s="8"/>
      <c r="L51" s="9" t="n">
        <v>15500</v>
      </c>
      <c r="M51" s="9" t="n">
        <v>2000</v>
      </c>
      <c r="N51" s="8" t="s">
        <v>218</v>
      </c>
      <c r="O51" s="8" t="s">
        <v>433</v>
      </c>
      <c r="P51" s="8" t="s">
        <v>434</v>
      </c>
      <c r="Q51" s="8" t="s">
        <v>435</v>
      </c>
      <c r="R51" s="8" t="s">
        <v>68</v>
      </c>
      <c r="S51" s="10"/>
      <c r="T51" s="10" t="s">
        <v>69</v>
      </c>
      <c r="U51" s="10"/>
      <c r="V51" s="10" t="s">
        <v>70</v>
      </c>
      <c r="W51" s="8" t="s">
        <v>436</v>
      </c>
    </row>
    <row r="52" customFormat="false" ht="15" hidden="false" customHeight="false" outlineLevel="0" collapsed="false">
      <c r="A52" s="8" t="s">
        <v>437</v>
      </c>
      <c r="B52" s="8" t="s">
        <v>427</v>
      </c>
      <c r="C52" s="8" t="s">
        <v>428</v>
      </c>
      <c r="D52" s="8" t="s">
        <v>429</v>
      </c>
      <c r="E52" s="8" t="s">
        <v>438</v>
      </c>
      <c r="F52" s="8" t="s">
        <v>439</v>
      </c>
      <c r="G52" s="8" t="s">
        <v>440</v>
      </c>
      <c r="H52" s="9" t="n">
        <v>6800</v>
      </c>
      <c r="I52" s="9" t="n">
        <v>2440</v>
      </c>
      <c r="J52" s="9" t="n">
        <v>2900</v>
      </c>
      <c r="K52" s="8"/>
      <c r="L52" s="9" t="n">
        <v>26000</v>
      </c>
      <c r="M52" s="9" t="n">
        <v>3500</v>
      </c>
      <c r="N52" s="8" t="s">
        <v>218</v>
      </c>
      <c r="O52" s="8" t="s">
        <v>433</v>
      </c>
      <c r="P52" s="8" t="s">
        <v>434</v>
      </c>
      <c r="Q52" s="8" t="s">
        <v>441</v>
      </c>
      <c r="R52" s="8" t="s">
        <v>68</v>
      </c>
      <c r="S52" s="10"/>
      <c r="T52" s="10" t="s">
        <v>69</v>
      </c>
      <c r="U52" s="10"/>
      <c r="V52" s="10" t="s">
        <v>70</v>
      </c>
      <c r="W52" s="8" t="s">
        <v>442</v>
      </c>
    </row>
    <row r="53" customFormat="false" ht="15" hidden="false" customHeight="false" outlineLevel="0" collapsed="false">
      <c r="A53" s="8" t="s">
        <v>443</v>
      </c>
      <c r="B53" s="8" t="s">
        <v>427</v>
      </c>
      <c r="C53" s="8" t="s">
        <v>428</v>
      </c>
      <c r="D53" s="8" t="s">
        <v>444</v>
      </c>
      <c r="E53" s="8" t="s">
        <v>445</v>
      </c>
      <c r="F53" s="8" t="s">
        <v>446</v>
      </c>
      <c r="G53" s="8" t="s">
        <v>447</v>
      </c>
      <c r="H53" s="9" t="n">
        <v>12192</v>
      </c>
      <c r="I53" s="9" t="n">
        <v>2438</v>
      </c>
      <c r="J53" s="9" t="n">
        <v>3960</v>
      </c>
      <c r="K53" s="8"/>
      <c r="L53" s="9" t="n">
        <v>45000</v>
      </c>
      <c r="M53" s="9" t="n">
        <v>3000</v>
      </c>
      <c r="N53" s="8" t="s">
        <v>218</v>
      </c>
      <c r="O53" s="8" t="s">
        <v>407</v>
      </c>
      <c r="P53" s="8" t="s">
        <v>448</v>
      </c>
      <c r="Q53" s="8" t="s">
        <v>449</v>
      </c>
      <c r="R53" s="8" t="s">
        <v>68</v>
      </c>
      <c r="S53" s="10"/>
      <c r="T53" s="10" t="s">
        <v>69</v>
      </c>
      <c r="U53" s="10"/>
      <c r="V53" s="10" t="s">
        <v>70</v>
      </c>
      <c r="W53" s="8" t="s">
        <v>450</v>
      </c>
    </row>
    <row r="54" customFormat="false" ht="15" hidden="false" customHeight="false" outlineLevel="0" collapsed="false">
      <c r="A54" s="8" t="s">
        <v>451</v>
      </c>
      <c r="B54" s="8" t="s">
        <v>427</v>
      </c>
      <c r="C54" s="8" t="s">
        <v>452</v>
      </c>
      <c r="D54" s="8" t="s">
        <v>453</v>
      </c>
      <c r="E54" s="8" t="s">
        <v>454</v>
      </c>
      <c r="F54" s="8" t="s">
        <v>455</v>
      </c>
      <c r="G54" s="8" t="s">
        <v>456</v>
      </c>
      <c r="H54" s="9" t="n">
        <v>11937</v>
      </c>
      <c r="I54" s="9" t="n">
        <v>2253</v>
      </c>
      <c r="J54" s="9" t="n">
        <v>2297</v>
      </c>
      <c r="K54" s="8"/>
      <c r="L54" s="9" t="n">
        <v>9600</v>
      </c>
      <c r="M54" s="9" t="n">
        <v>1000</v>
      </c>
      <c r="N54" s="8" t="s">
        <v>237</v>
      </c>
      <c r="O54" s="8" t="s">
        <v>457</v>
      </c>
      <c r="P54" s="8" t="s">
        <v>458</v>
      </c>
      <c r="Q54" s="8" t="s">
        <v>459</v>
      </c>
      <c r="R54" s="8" t="s">
        <v>68</v>
      </c>
      <c r="S54" s="10"/>
      <c r="T54" s="10" t="s">
        <v>69</v>
      </c>
      <c r="U54" s="10"/>
      <c r="V54" s="10" t="s">
        <v>70</v>
      </c>
      <c r="W54" s="8" t="s">
        <v>460</v>
      </c>
    </row>
    <row r="55" customFormat="false" ht="15" hidden="false" customHeight="false" outlineLevel="0" collapsed="false">
      <c r="A55" s="8" t="s">
        <v>461</v>
      </c>
      <c r="B55" s="8" t="s">
        <v>427</v>
      </c>
      <c r="C55" s="8" t="s">
        <v>452</v>
      </c>
      <c r="D55" s="8" t="s">
        <v>453</v>
      </c>
      <c r="E55" s="8" t="s">
        <v>78</v>
      </c>
      <c r="F55" s="8" t="s">
        <v>462</v>
      </c>
      <c r="G55" s="8" t="s">
        <v>463</v>
      </c>
      <c r="H55" s="9" t="n">
        <v>10750</v>
      </c>
      <c r="I55" s="9" t="n">
        <v>2250</v>
      </c>
      <c r="J55" s="9" t="n">
        <v>2540</v>
      </c>
      <c r="K55" s="8"/>
      <c r="L55" s="9" t="n">
        <v>10000</v>
      </c>
      <c r="M55" s="9" t="n">
        <v>1000</v>
      </c>
      <c r="N55" s="8" t="s">
        <v>237</v>
      </c>
      <c r="O55" s="8" t="s">
        <v>457</v>
      </c>
      <c r="P55" s="8" t="s">
        <v>458</v>
      </c>
      <c r="Q55" s="8" t="s">
        <v>464</v>
      </c>
      <c r="R55" s="8" t="s">
        <v>68</v>
      </c>
      <c r="S55" s="10"/>
      <c r="T55" s="10" t="s">
        <v>69</v>
      </c>
      <c r="U55" s="10"/>
      <c r="V55" s="10" t="s">
        <v>70</v>
      </c>
      <c r="W55" s="8" t="s">
        <v>465</v>
      </c>
    </row>
    <row r="56" customFormat="false" ht="15" hidden="false" customHeight="false" outlineLevel="0" collapsed="false">
      <c r="A56" s="8" t="s">
        <v>466</v>
      </c>
      <c r="B56" s="8" t="s">
        <v>356</v>
      </c>
      <c r="C56" s="8" t="s">
        <v>452</v>
      </c>
      <c r="D56" s="8" t="s">
        <v>467</v>
      </c>
      <c r="E56" s="8" t="s">
        <v>468</v>
      </c>
      <c r="F56" s="8" t="s">
        <v>469</v>
      </c>
      <c r="G56" s="8" t="s">
        <v>470</v>
      </c>
      <c r="H56" s="9" t="n">
        <v>4880</v>
      </c>
      <c r="I56" s="9" t="n">
        <v>2240</v>
      </c>
      <c r="J56" s="9" t="n">
        <v>2740</v>
      </c>
      <c r="K56" s="8"/>
      <c r="L56" s="9" t="n">
        <v>15900</v>
      </c>
      <c r="M56" s="9" t="n">
        <v>5275</v>
      </c>
      <c r="N56" s="8" t="s">
        <v>237</v>
      </c>
      <c r="O56" s="8" t="s">
        <v>65</v>
      </c>
      <c r="P56" s="8" t="s">
        <v>471</v>
      </c>
      <c r="Q56" s="8" t="s">
        <v>472</v>
      </c>
      <c r="R56" s="8" t="s">
        <v>68</v>
      </c>
      <c r="S56" s="10"/>
      <c r="T56" s="10" t="s">
        <v>69</v>
      </c>
      <c r="U56" s="10"/>
      <c r="V56" s="10" t="s">
        <v>70</v>
      </c>
      <c r="W56" s="8" t="s">
        <v>473</v>
      </c>
    </row>
    <row r="57" customFormat="false" ht="15" hidden="false" customHeight="false" outlineLevel="0" collapsed="false">
      <c r="A57" s="8" t="s">
        <v>474</v>
      </c>
      <c r="B57" s="8" t="s">
        <v>427</v>
      </c>
      <c r="C57" s="8" t="s">
        <v>452</v>
      </c>
      <c r="D57" s="8" t="s">
        <v>475</v>
      </c>
      <c r="E57" s="8" t="s">
        <v>476</v>
      </c>
      <c r="F57" s="8" t="s">
        <v>477</v>
      </c>
      <c r="G57" s="8" t="s">
        <v>478</v>
      </c>
      <c r="H57" s="9" t="n">
        <v>5486</v>
      </c>
      <c r="I57" s="9" t="n">
        <v>3658</v>
      </c>
      <c r="J57" s="9" t="n">
        <v>4900</v>
      </c>
      <c r="K57" s="8"/>
      <c r="L57" s="9" t="n">
        <v>18000</v>
      </c>
      <c r="M57" s="9" t="n">
        <v>4000</v>
      </c>
      <c r="N57" s="8" t="s">
        <v>479</v>
      </c>
      <c r="O57" s="8" t="s">
        <v>457</v>
      </c>
      <c r="P57" s="8" t="s">
        <v>480</v>
      </c>
      <c r="Q57" s="8" t="s">
        <v>481</v>
      </c>
      <c r="R57" s="8" t="s">
        <v>68</v>
      </c>
      <c r="S57" s="10"/>
      <c r="T57" s="10" t="s">
        <v>69</v>
      </c>
      <c r="U57" s="10"/>
      <c r="V57" s="10" t="s">
        <v>70</v>
      </c>
      <c r="W57" s="8" t="s">
        <v>482</v>
      </c>
    </row>
    <row r="58" customFormat="false" ht="15" hidden="false" customHeight="false" outlineLevel="0" collapsed="false">
      <c r="A58" s="8" t="s">
        <v>483</v>
      </c>
      <c r="B58" s="8" t="s">
        <v>427</v>
      </c>
      <c r="C58" s="8" t="s">
        <v>452</v>
      </c>
      <c r="D58" s="8" t="s">
        <v>484</v>
      </c>
      <c r="E58" s="8" t="s">
        <v>485</v>
      </c>
      <c r="F58" s="8" t="s">
        <v>486</v>
      </c>
      <c r="G58" s="8" t="s">
        <v>487</v>
      </c>
      <c r="H58" s="9" t="n">
        <v>12000</v>
      </c>
      <c r="I58" s="9" t="n">
        <v>2275</v>
      </c>
      <c r="J58" s="9" t="n">
        <v>2850</v>
      </c>
      <c r="K58" s="8"/>
      <c r="L58" s="9" t="n">
        <v>7000</v>
      </c>
      <c r="M58" s="9" t="n">
        <v>1000</v>
      </c>
      <c r="N58" s="8" t="s">
        <v>479</v>
      </c>
      <c r="O58" s="8" t="s">
        <v>457</v>
      </c>
      <c r="P58" s="8" t="s">
        <v>488</v>
      </c>
      <c r="Q58" s="8" t="s">
        <v>489</v>
      </c>
      <c r="R58" s="8" t="s">
        <v>68</v>
      </c>
      <c r="S58" s="10"/>
      <c r="T58" s="10" t="s">
        <v>69</v>
      </c>
      <c r="U58" s="10"/>
      <c r="V58" s="10" t="s">
        <v>70</v>
      </c>
      <c r="W58" s="8" t="s">
        <v>490</v>
      </c>
    </row>
    <row r="59" customFormat="false" ht="15" hidden="false" customHeight="false" outlineLevel="0" collapsed="false">
      <c r="A59" s="8" t="s">
        <v>491</v>
      </c>
      <c r="B59" s="8" t="s">
        <v>356</v>
      </c>
      <c r="C59" s="8" t="s">
        <v>452</v>
      </c>
      <c r="D59" s="8" t="s">
        <v>492</v>
      </c>
      <c r="E59" s="8" t="s">
        <v>493</v>
      </c>
      <c r="F59" s="8" t="s">
        <v>494</v>
      </c>
      <c r="G59" s="8" t="s">
        <v>495</v>
      </c>
      <c r="H59" s="9" t="n">
        <v>2030</v>
      </c>
      <c r="I59" s="9" t="n">
        <v>910</v>
      </c>
      <c r="J59" s="9" t="n">
        <v>1220</v>
      </c>
      <c r="K59" s="8"/>
      <c r="L59" s="9" t="n">
        <v>900</v>
      </c>
      <c r="M59" s="9" t="n">
        <v>75</v>
      </c>
      <c r="N59" s="8" t="s">
        <v>218</v>
      </c>
      <c r="O59" s="8" t="s">
        <v>433</v>
      </c>
      <c r="P59" s="8" t="s">
        <v>471</v>
      </c>
      <c r="Q59" s="8" t="s">
        <v>496</v>
      </c>
      <c r="R59" s="8" t="s">
        <v>68</v>
      </c>
      <c r="S59" s="10"/>
      <c r="T59" s="10" t="s">
        <v>69</v>
      </c>
      <c r="U59" s="10"/>
      <c r="V59" s="10" t="s">
        <v>70</v>
      </c>
      <c r="W59" s="8" t="s">
        <v>497</v>
      </c>
    </row>
    <row r="60" customFormat="false" ht="15" hidden="false" customHeight="false" outlineLevel="0" collapsed="false">
      <c r="A60" s="8" t="s">
        <v>498</v>
      </c>
      <c r="B60" s="8" t="s">
        <v>427</v>
      </c>
      <c r="C60" s="8" t="s">
        <v>452</v>
      </c>
      <c r="D60" s="8" t="s">
        <v>499</v>
      </c>
      <c r="E60" s="8" t="s">
        <v>500</v>
      </c>
      <c r="F60" s="8" t="s">
        <v>501</v>
      </c>
      <c r="G60" s="8" t="s">
        <v>502</v>
      </c>
      <c r="H60" s="9" t="n">
        <v>15240</v>
      </c>
      <c r="I60" s="9" t="n">
        <v>15240</v>
      </c>
      <c r="J60" s="9" t="n">
        <v>21336</v>
      </c>
      <c r="K60" s="8"/>
      <c r="L60" s="9"/>
      <c r="M60" s="9"/>
      <c r="N60" s="8"/>
      <c r="O60" s="8" t="s">
        <v>407</v>
      </c>
      <c r="P60" s="8" t="s">
        <v>503</v>
      </c>
      <c r="Q60" s="8" t="s">
        <v>504</v>
      </c>
      <c r="R60" s="8" t="s">
        <v>68</v>
      </c>
      <c r="S60" s="10"/>
      <c r="T60" s="10" t="s">
        <v>69</v>
      </c>
      <c r="U60" s="10"/>
      <c r="V60" s="10" t="s">
        <v>70</v>
      </c>
      <c r="W60" s="8" t="s">
        <v>505</v>
      </c>
    </row>
    <row r="61" customFormat="false" ht="15" hidden="false" customHeight="false" outlineLevel="0" collapsed="false">
      <c r="A61" s="8" t="s">
        <v>506</v>
      </c>
      <c r="B61" s="8" t="s">
        <v>427</v>
      </c>
      <c r="C61" s="8" t="s">
        <v>507</v>
      </c>
      <c r="D61" s="8" t="s">
        <v>508</v>
      </c>
      <c r="E61" s="8" t="s">
        <v>509</v>
      </c>
      <c r="F61" s="8" t="s">
        <v>510</v>
      </c>
      <c r="G61" s="8" t="s">
        <v>511</v>
      </c>
      <c r="H61" s="9" t="n">
        <v>10973</v>
      </c>
      <c r="I61" s="9" t="n">
        <v>3048</v>
      </c>
      <c r="J61" s="9" t="n">
        <v>3400</v>
      </c>
      <c r="K61" s="8"/>
      <c r="L61" s="9" t="n">
        <v>29500</v>
      </c>
      <c r="M61" s="9"/>
      <c r="N61" s="8"/>
      <c r="O61" s="8" t="s">
        <v>407</v>
      </c>
      <c r="P61" s="8" t="s">
        <v>512</v>
      </c>
      <c r="Q61" s="8" t="s">
        <v>513</v>
      </c>
      <c r="R61" s="8" t="s">
        <v>68</v>
      </c>
      <c r="S61" s="10"/>
      <c r="T61" s="10" t="s">
        <v>69</v>
      </c>
      <c r="U61" s="10"/>
      <c r="V61" s="10" t="s">
        <v>70</v>
      </c>
      <c r="W61" s="8" t="s">
        <v>514</v>
      </c>
    </row>
    <row r="62" customFormat="false" ht="15" hidden="false" customHeight="false" outlineLevel="0" collapsed="false">
      <c r="A62" s="8" t="s">
        <v>515</v>
      </c>
      <c r="B62" s="8" t="s">
        <v>516</v>
      </c>
      <c r="C62" s="8" t="s">
        <v>516</v>
      </c>
      <c r="D62" s="8" t="s">
        <v>517</v>
      </c>
      <c r="E62" s="8" t="s">
        <v>518</v>
      </c>
      <c r="F62" s="8" t="s">
        <v>519</v>
      </c>
      <c r="G62" s="8" t="s">
        <v>520</v>
      </c>
      <c r="H62" s="9" t="n">
        <v>12192</v>
      </c>
      <c r="I62" s="9" t="n">
        <v>2438</v>
      </c>
      <c r="J62" s="9" t="n">
        <v>2591</v>
      </c>
      <c r="K62" s="8"/>
      <c r="L62" s="9" t="n">
        <v>3750</v>
      </c>
      <c r="M62" s="9"/>
      <c r="N62" s="8"/>
      <c r="O62" s="8" t="s">
        <v>407</v>
      </c>
      <c r="P62" s="8" t="s">
        <v>521</v>
      </c>
      <c r="Q62" s="8" t="s">
        <v>522</v>
      </c>
      <c r="R62" s="8" t="s">
        <v>523</v>
      </c>
      <c r="S62" s="10"/>
      <c r="T62" s="10" t="s">
        <v>69</v>
      </c>
      <c r="U62" s="10"/>
      <c r="V62" s="10" t="s">
        <v>70</v>
      </c>
      <c r="W62" s="8" t="s">
        <v>524</v>
      </c>
    </row>
  </sheetData>
  <autoFilter ref="A1:W62"/>
  <dataValidations count="4">
    <dataValidation allowBlank="true" errorStyle="stop" operator="between" showDropDown="false" showErrorMessage="false" showInputMessage="false" sqref="B2:B500" type="list">
      <formula1>"White Space,Gray Space,Rack IT Gear,Yard,Reference"</formula1>
      <formula2>0</formula2>
    </dataValidation>
    <dataValidation allowBlank="true" errorStyle="stop" operator="between" showDropDown="false" showErrorMessage="false" showInputMessage="false" sqref="R2:R500" type="list">
      <formula1>"Verified (datasheet),Verified (standard),Secondary,Estimated (recall)"</formula1>
      <formula2>0</formula2>
    </dataValidation>
    <dataValidation allowBlank="true" errorStyle="stop" operator="between" showDropDown="false" showErrorMessage="false" showInputMessage="false" sqref="T2:T500" type="list">
      <formula1>"Not started,In progress,Blocked - needs dims,Modeled,Approved"</formula1>
      <formula2>0</formula2>
    </dataValidation>
    <dataValidation allowBlank="true" errorStyle="stop" operator="between" showDropDown="false" showErrorMessage="false" showInputMessage="false" sqref="V2:V500" type="list">
      <formula1>"LOD100 Massing,LOD200 Generic,LOD300 Detailed,LOD400 Fabrication"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7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1" t="s">
        <v>525</v>
      </c>
      <c r="B1" s="11" t="s">
        <v>526</v>
      </c>
      <c r="C1" s="11" t="s">
        <v>36</v>
      </c>
      <c r="D1" s="11" t="s">
        <v>527</v>
      </c>
      <c r="E1" s="11" t="s">
        <v>528</v>
      </c>
      <c r="F1" s="11" t="s">
        <v>529</v>
      </c>
    </row>
    <row r="2" customFormat="false" ht="15" hidden="false" customHeight="false" outlineLevel="0" collapsed="false">
      <c r="A2" s="8" t="s">
        <v>530</v>
      </c>
      <c r="B2" s="8" t="s">
        <v>531</v>
      </c>
      <c r="C2" s="8" t="s">
        <v>84</v>
      </c>
      <c r="D2" s="8" t="s">
        <v>532</v>
      </c>
      <c r="E2" s="8" t="n">
        <v>1</v>
      </c>
      <c r="F2" s="8" t="s">
        <v>533</v>
      </c>
    </row>
    <row r="3" customFormat="false" ht="15" hidden="false" customHeight="false" outlineLevel="0" collapsed="false">
      <c r="A3" s="8" t="s">
        <v>530</v>
      </c>
      <c r="B3" s="8" t="s">
        <v>531</v>
      </c>
      <c r="C3" s="8" t="s">
        <v>127</v>
      </c>
      <c r="D3" s="8" t="s">
        <v>534</v>
      </c>
      <c r="E3" s="8" t="n">
        <v>18</v>
      </c>
      <c r="F3" s="8" t="s">
        <v>535</v>
      </c>
    </row>
    <row r="4" customFormat="false" ht="15" hidden="false" customHeight="false" outlineLevel="0" collapsed="false">
      <c r="A4" s="8" t="s">
        <v>530</v>
      </c>
      <c r="B4" s="8" t="s">
        <v>531</v>
      </c>
      <c r="C4" s="8" t="s">
        <v>136</v>
      </c>
      <c r="D4" s="8" t="s">
        <v>536</v>
      </c>
      <c r="E4" s="8" t="n">
        <v>9</v>
      </c>
      <c r="F4" s="8" t="s">
        <v>537</v>
      </c>
    </row>
    <row r="5" customFormat="false" ht="15" hidden="false" customHeight="false" outlineLevel="0" collapsed="false">
      <c r="A5" s="8" t="s">
        <v>530</v>
      </c>
      <c r="B5" s="8" t="s">
        <v>531</v>
      </c>
      <c r="C5" s="8" t="s">
        <v>223</v>
      </c>
      <c r="D5" s="8" t="s">
        <v>226</v>
      </c>
      <c r="E5" s="8" t="n">
        <v>8</v>
      </c>
      <c r="F5" s="8" t="s">
        <v>538</v>
      </c>
    </row>
    <row r="6" customFormat="false" ht="15" hidden="false" customHeight="false" outlineLevel="0" collapsed="false">
      <c r="A6" s="8" t="s">
        <v>539</v>
      </c>
      <c r="B6" s="8" t="s">
        <v>540</v>
      </c>
      <c r="C6" s="8" t="s">
        <v>84</v>
      </c>
      <c r="D6" s="8" t="s">
        <v>541</v>
      </c>
      <c r="E6" s="8" t="n">
        <v>8</v>
      </c>
      <c r="F6" s="8" t="s">
        <v>542</v>
      </c>
    </row>
    <row r="7" customFormat="false" ht="15" hidden="false" customHeight="false" outlineLevel="0" collapsed="false">
      <c r="A7" s="8" t="s">
        <v>539</v>
      </c>
      <c r="B7" s="8" t="s">
        <v>540</v>
      </c>
      <c r="C7" s="8" t="s">
        <v>241</v>
      </c>
      <c r="D7" s="8" t="s">
        <v>543</v>
      </c>
      <c r="E7" s="8" t="n">
        <v>2</v>
      </c>
      <c r="F7" s="8" t="s">
        <v>544</v>
      </c>
    </row>
    <row r="8" customFormat="false" ht="15" hidden="false" customHeight="false" outlineLevel="0" collapsed="false">
      <c r="A8" s="8" t="s">
        <v>539</v>
      </c>
      <c r="B8" s="8" t="s">
        <v>540</v>
      </c>
      <c r="C8" s="8" t="s">
        <v>279</v>
      </c>
      <c r="D8" s="8" t="s">
        <v>545</v>
      </c>
      <c r="E8" s="8" t="n">
        <v>2</v>
      </c>
      <c r="F8" s="8" t="s">
        <v>546</v>
      </c>
    </row>
    <row r="9" customFormat="false" ht="15" hidden="false" customHeight="false" outlineLevel="0" collapsed="false">
      <c r="A9" s="8" t="s">
        <v>539</v>
      </c>
      <c r="B9" s="8" t="s">
        <v>540</v>
      </c>
      <c r="C9" s="8" t="s">
        <v>347</v>
      </c>
      <c r="D9" s="8" t="s">
        <v>349</v>
      </c>
      <c r="E9" s="8" t="n">
        <v>2</v>
      </c>
      <c r="F9" s="8" t="s">
        <v>547</v>
      </c>
    </row>
    <row r="10" customFormat="false" ht="15" hidden="false" customHeight="false" outlineLevel="0" collapsed="false">
      <c r="A10" s="8" t="s">
        <v>539</v>
      </c>
      <c r="B10" s="8" t="s">
        <v>540</v>
      </c>
      <c r="C10" s="8" t="s">
        <v>184</v>
      </c>
      <c r="D10" s="8" t="s">
        <v>548</v>
      </c>
      <c r="E10" s="8" t="n">
        <v>4</v>
      </c>
      <c r="F10" s="8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1" t="s">
        <v>550</v>
      </c>
      <c r="B1" s="11" t="s">
        <v>551</v>
      </c>
      <c r="C1" s="11" t="s">
        <v>552</v>
      </c>
      <c r="D1" s="11" t="s">
        <v>553</v>
      </c>
      <c r="E1" s="11" t="s">
        <v>57</v>
      </c>
    </row>
    <row r="2" customFormat="false" ht="15" hidden="false" customHeight="false" outlineLevel="0" collapsed="false">
      <c r="A2" s="8" t="s">
        <v>554</v>
      </c>
      <c r="B2" s="8" t="s">
        <v>555</v>
      </c>
      <c r="C2" s="8" t="n">
        <v>25.4</v>
      </c>
      <c r="D2" s="8" t="s">
        <v>556</v>
      </c>
      <c r="E2" s="8" t="s">
        <v>557</v>
      </c>
    </row>
    <row r="3" customFormat="false" ht="15" hidden="false" customHeight="false" outlineLevel="0" collapsed="false">
      <c r="A3" s="8" t="s">
        <v>558</v>
      </c>
      <c r="B3" s="8" t="s">
        <v>559</v>
      </c>
      <c r="C3" s="8" t="n">
        <v>44.45</v>
      </c>
      <c r="D3" s="8" t="s">
        <v>556</v>
      </c>
      <c r="E3" s="8" t="s">
        <v>560</v>
      </c>
    </row>
    <row r="4" customFormat="false" ht="15" hidden="false" customHeight="false" outlineLevel="0" collapsed="false">
      <c r="A4" s="8" t="s">
        <v>558</v>
      </c>
      <c r="B4" s="8" t="s">
        <v>561</v>
      </c>
      <c r="C4" s="8" t="n">
        <v>482.6</v>
      </c>
      <c r="D4" s="8" t="s">
        <v>556</v>
      </c>
      <c r="E4" s="8" t="s">
        <v>562</v>
      </c>
    </row>
    <row r="5" customFormat="false" ht="15" hidden="false" customHeight="false" outlineLevel="0" collapsed="false">
      <c r="A5" s="8" t="s">
        <v>558</v>
      </c>
      <c r="B5" s="8" t="s">
        <v>563</v>
      </c>
      <c r="C5" s="8" t="n">
        <v>450.85</v>
      </c>
      <c r="D5" s="8" t="s">
        <v>556</v>
      </c>
      <c r="E5" s="8" t="s">
        <v>564</v>
      </c>
    </row>
    <row r="6" customFormat="false" ht="15" hidden="false" customHeight="false" outlineLevel="0" collapsed="false">
      <c r="A6" s="8" t="s">
        <v>558</v>
      </c>
      <c r="B6" s="8" t="s">
        <v>565</v>
      </c>
      <c r="C6" s="8" t="n">
        <v>465.1</v>
      </c>
      <c r="D6" s="8" t="s">
        <v>556</v>
      </c>
      <c r="E6" s="8" t="s">
        <v>566</v>
      </c>
    </row>
    <row r="7" customFormat="false" ht="15" hidden="false" customHeight="false" outlineLevel="0" collapsed="false">
      <c r="A7" s="8" t="s">
        <v>558</v>
      </c>
      <c r="B7" s="8" t="s">
        <v>567</v>
      </c>
      <c r="C7" s="8"/>
      <c r="D7" s="8" t="s">
        <v>568</v>
      </c>
      <c r="E7" s="8" t="s">
        <v>569</v>
      </c>
    </row>
    <row r="8" customFormat="false" ht="15" hidden="false" customHeight="false" outlineLevel="0" collapsed="false">
      <c r="A8" s="8" t="s">
        <v>570</v>
      </c>
      <c r="B8" s="8" t="s">
        <v>571</v>
      </c>
      <c r="C8" s="8" t="n">
        <v>48</v>
      </c>
      <c r="D8" s="8" t="s">
        <v>556</v>
      </c>
      <c r="E8" s="8" t="s">
        <v>572</v>
      </c>
    </row>
    <row r="9" customFormat="false" ht="15" hidden="false" customHeight="false" outlineLevel="0" collapsed="false">
      <c r="A9" s="8" t="s">
        <v>570</v>
      </c>
      <c r="B9" s="8" t="s">
        <v>573</v>
      </c>
      <c r="C9" s="8" t="n">
        <v>538</v>
      </c>
      <c r="D9" s="8" t="s">
        <v>556</v>
      </c>
      <c r="E9" s="8" t="s">
        <v>574</v>
      </c>
    </row>
    <row r="10" customFormat="false" ht="15" hidden="false" customHeight="false" outlineLevel="0" collapsed="false">
      <c r="A10" s="8" t="s">
        <v>570</v>
      </c>
      <c r="B10" s="8" t="s">
        <v>575</v>
      </c>
      <c r="C10" s="8" t="n">
        <v>600</v>
      </c>
      <c r="D10" s="8" t="s">
        <v>576</v>
      </c>
      <c r="E10" s="8" t="s">
        <v>577</v>
      </c>
    </row>
    <row r="11" customFormat="false" ht="15" hidden="false" customHeight="false" outlineLevel="0" collapsed="false">
      <c r="A11" s="8" t="s">
        <v>578</v>
      </c>
      <c r="B11" s="8" t="s">
        <v>579</v>
      </c>
      <c r="C11" s="8" t="n">
        <v>111.15</v>
      </c>
      <c r="D11" s="8" t="s">
        <v>556</v>
      </c>
      <c r="E11" s="8" t="s">
        <v>580</v>
      </c>
    </row>
    <row r="12" customFormat="false" ht="15" hidden="false" customHeight="false" outlineLevel="0" collapsed="false">
      <c r="A12" s="8" t="s">
        <v>578</v>
      </c>
      <c r="B12" s="8" t="s">
        <v>581</v>
      </c>
      <c r="C12" s="8" t="n">
        <v>68.9</v>
      </c>
      <c r="D12" s="8" t="s">
        <v>556</v>
      </c>
      <c r="E12" s="8"/>
    </row>
    <row r="13" customFormat="false" ht="15" hidden="false" customHeight="false" outlineLevel="0" collapsed="false">
      <c r="A13" s="8" t="s">
        <v>578</v>
      </c>
      <c r="B13" s="8" t="s">
        <v>582</v>
      </c>
      <c r="C13" s="8" t="n">
        <v>312</v>
      </c>
      <c r="D13" s="8" t="s">
        <v>556</v>
      </c>
      <c r="E13" s="8" t="s">
        <v>583</v>
      </c>
    </row>
    <row r="14" customFormat="false" ht="15" hidden="false" customHeight="false" outlineLevel="0" collapsed="false">
      <c r="A14" s="8" t="s">
        <v>578</v>
      </c>
      <c r="B14" s="8" t="s">
        <v>584</v>
      </c>
      <c r="C14" s="8" t="n">
        <v>167.65</v>
      </c>
      <c r="D14" s="8" t="s">
        <v>556</v>
      </c>
      <c r="E14" s="8"/>
    </row>
    <row r="15" customFormat="false" ht="15" hidden="false" customHeight="false" outlineLevel="0" collapsed="false">
      <c r="A15" s="8" t="s">
        <v>578</v>
      </c>
      <c r="B15" s="8" t="s">
        <v>585</v>
      </c>
      <c r="C15" s="8" t="n">
        <v>20.32</v>
      </c>
      <c r="D15" s="8" t="s">
        <v>556</v>
      </c>
      <c r="E15" s="8" t="s">
        <v>586</v>
      </c>
    </row>
    <row r="16" customFormat="false" ht="15" hidden="false" customHeight="false" outlineLevel="0" collapsed="false">
      <c r="A16" s="8" t="s">
        <v>587</v>
      </c>
      <c r="B16" s="8" t="s">
        <v>588</v>
      </c>
      <c r="C16" s="8" t="n">
        <v>609.6</v>
      </c>
      <c r="D16" s="8" t="s">
        <v>589</v>
      </c>
      <c r="E16" s="8" t="s">
        <v>590</v>
      </c>
    </row>
    <row r="17" customFormat="false" ht="15" hidden="false" customHeight="false" outlineLevel="0" collapsed="false">
      <c r="A17" s="8" t="s">
        <v>591</v>
      </c>
      <c r="B17" s="8" t="s">
        <v>592</v>
      </c>
      <c r="C17" s="8"/>
      <c r="D17" s="8" t="s">
        <v>593</v>
      </c>
      <c r="E17" s="8" t="s">
        <v>594</v>
      </c>
    </row>
    <row r="18" customFormat="false" ht="15" hidden="false" customHeight="false" outlineLevel="0" collapsed="false">
      <c r="A18" s="8" t="s">
        <v>595</v>
      </c>
      <c r="B18" s="8" t="s">
        <v>596</v>
      </c>
      <c r="C18" s="8" t="n">
        <v>1219.2</v>
      </c>
      <c r="D18" s="8" t="s">
        <v>597</v>
      </c>
      <c r="E18" s="8" t="s">
        <v>598</v>
      </c>
    </row>
    <row r="19" customFormat="false" ht="15" hidden="false" customHeight="false" outlineLevel="0" collapsed="false">
      <c r="A19" s="8" t="s">
        <v>595</v>
      </c>
      <c r="B19" s="8" t="s">
        <v>599</v>
      </c>
      <c r="C19" s="8" t="n">
        <v>914.4</v>
      </c>
      <c r="D19" s="8" t="s">
        <v>600</v>
      </c>
      <c r="E19" s="8" t="s">
        <v>601</v>
      </c>
    </row>
    <row r="20" customFormat="false" ht="15" hidden="false" customHeight="false" outlineLevel="0" collapsed="false">
      <c r="A20" s="8" t="s">
        <v>595</v>
      </c>
      <c r="B20" s="8" t="s">
        <v>602</v>
      </c>
      <c r="C20" s="8" t="n">
        <v>4267.2</v>
      </c>
      <c r="D20" s="8" t="s">
        <v>603</v>
      </c>
      <c r="E20" s="8" t="s">
        <v>604</v>
      </c>
    </row>
    <row r="21" customFormat="false" ht="15" hidden="false" customHeight="false" outlineLevel="0" collapsed="false">
      <c r="A21" s="8" t="s">
        <v>518</v>
      </c>
      <c r="B21" s="8" t="s">
        <v>605</v>
      </c>
      <c r="C21" s="8"/>
      <c r="D21" s="8" t="s">
        <v>606</v>
      </c>
      <c r="E21" s="8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2026-08-06T18:26:31Z</dcterms:created>
  <dc:creator>openpyxl</dc:creator>
  <dc:description/>
  <dc:language>en-US</dc:language>
  <cp:lastModifiedBy/>
  <dcterms:modified xsi:type="dcterms:W3CDTF">2026-08-06T18:26:31Z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